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i.sukhovii\PycharmProjects\pythonProject1\.venv\Scripts\prod\electro_tariff\"/>
    </mc:Choice>
  </mc:AlternateContent>
  <xr:revisionPtr revIDLastSave="0" documentId="13_ncr:1_{EA79D577-5597-4FA7-AAAF-73A56AF64F8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81" i="1" l="1"/>
  <c r="C301" i="1"/>
  <c r="C299" i="1"/>
  <c r="C278" i="1"/>
  <c r="C232" i="1"/>
  <c r="C65" i="1"/>
  <c r="C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29" authorId="0" shapeId="0" xr:uid="{D897D47B-C5BC-4FED-96C2-4D1F934944EF}">
      <text>
        <r>
          <rPr>
            <sz val="9"/>
            <color indexed="81"/>
            <rFont val="Tahoma"/>
            <family val="2"/>
            <charset val="204"/>
          </rPr>
          <t xml:space="preserve">рефіт
</t>
        </r>
      </text>
    </comment>
    <comment ref="C76" authorId="0" shapeId="0" xr:uid="{5A685A44-B871-4A07-8B92-4A8EB6034A7F}">
      <text>
        <r>
          <rPr>
            <b/>
            <sz val="9"/>
            <color indexed="81"/>
            <rFont val="Tahoma"/>
            <family val="2"/>
            <charset val="204"/>
          </rPr>
          <t>рефіт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90" authorId="0" shapeId="0" xr:uid="{4870CABB-BE6F-48CF-BDA3-7345AC156D74}">
      <text>
        <r>
          <rPr>
            <sz val="9"/>
            <color indexed="81"/>
            <rFont val="Tahoma"/>
            <family val="2"/>
            <charset val="204"/>
          </rPr>
          <t xml:space="preserve">рефіт 
</t>
        </r>
      </text>
    </comment>
    <comment ref="C117" authorId="0" shapeId="0" xr:uid="{0B8E9DCE-5192-4BA0-8902-575EAB3B6022}">
      <text>
        <r>
          <rPr>
            <b/>
            <sz val="9"/>
            <color indexed="81"/>
            <rFont val="Tahoma"/>
            <family val="2"/>
            <charset val="204"/>
          </rPr>
          <t>рефіт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227" authorId="0" shapeId="0" xr:uid="{222B65F5-C648-496A-A1AB-3536C0DF1EB3}">
      <text>
        <r>
          <rPr>
            <sz val="9"/>
            <color indexed="81"/>
            <rFont val="Tahoma"/>
            <family val="2"/>
            <charset val="204"/>
          </rPr>
          <t xml:space="preserve">
факт 24834 кВт </t>
        </r>
      </text>
    </comment>
    <comment ref="C301" authorId="0" shapeId="0" xr:uid="{BE8312E4-95D4-444D-A4A5-55D1CA7F09D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14467 мзк</t>
        </r>
      </text>
    </comment>
    <comment ref="C344" authorId="0" shapeId="0" xr:uid="{2F7E29B8-6386-45D6-BF9D-B3C13B5EA1C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споживання за січень, лютий, березень</t>
        </r>
      </text>
    </comment>
    <comment ref="C379" authorId="0" shapeId="0" xr:uid="{9573027A-F044-4458-8116-A7B678F54C0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споживання з 12.02.2026 по 31.03.2026</t>
        </r>
      </text>
    </comment>
    <comment ref="C410" authorId="0" shapeId="0" xr:uid="{554FC2EC-1A30-406A-985D-E46BF5B5159A}">
      <text>
        <r>
          <rPr>
            <b/>
            <sz val="9"/>
            <color indexed="81"/>
            <rFont val="Tahoma"/>
            <family val="2"/>
            <charset val="204"/>
          </rPr>
          <t>споживання за січень 53 кВт., лютий 5203 кВт. ,березень 25758 кВт.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411" authorId="0" shapeId="0" xr:uid="{65C241E1-07CB-4FE2-AA15-29BD6D517167}">
      <text>
        <r>
          <rPr>
            <sz val="9"/>
            <color indexed="81"/>
            <rFont val="Tahoma"/>
            <family val="2"/>
            <charset val="204"/>
          </rPr>
          <t xml:space="preserve">споживання за січень 2089 кВт.,лютий 6999 кВт.
</t>
        </r>
      </text>
    </comment>
    <comment ref="C417" authorId="0" shapeId="0" xr:uid="{2CF40444-3DC6-498D-A9B7-E30D60AFE8C0}">
      <text>
        <r>
          <rPr>
            <sz val="9"/>
            <color indexed="81"/>
            <rFont val="Tahoma"/>
            <family val="2"/>
            <charset val="204"/>
          </rPr>
          <t xml:space="preserve">споживання за січень 1826 кВт., лютий 5413 кВт.
</t>
        </r>
      </text>
    </comment>
    <comment ref="C418" authorId="0" shapeId="0" xr:uid="{7E6F819F-E04F-4181-BDF4-14F57E47DC9A}">
      <text>
        <r>
          <rPr>
            <b/>
            <sz val="9"/>
            <color indexed="81"/>
            <rFont val="Tahoma"/>
            <family val="2"/>
            <charset val="204"/>
          </rPr>
          <t>споживання за січень 147 кВт.,  лютий 109 кВт., березень 151 кВт.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420" authorId="0" shapeId="0" xr:uid="{1C1E825C-5E9A-4D93-A736-B5B31C496A20}">
      <text>
        <r>
          <rPr>
            <b/>
            <sz val="9"/>
            <color indexed="81"/>
            <rFont val="Tahoma"/>
            <family val="2"/>
            <charset val="204"/>
          </rPr>
          <t>споживання за січень 13030 кВт.,лютий 11642 кВт.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430" authorId="0" shapeId="0" xr:uid="{914EF7BC-5E9F-487F-94D3-820B101DB395}">
      <text>
        <r>
          <rPr>
            <b/>
            <sz val="9"/>
            <color indexed="81"/>
            <rFont val="Tahoma"/>
            <family val="2"/>
            <charset val="204"/>
          </rPr>
          <t xml:space="preserve">споживання за  січень 9кВт., лютий  97кВт.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431" authorId="0" shapeId="0" xr:uid="{702272D1-A2B6-431B-9FEE-C70D322C9EC1}">
      <text>
        <r>
          <rPr>
            <sz val="9"/>
            <color indexed="81"/>
            <rFont val="Tahoma"/>
            <family val="2"/>
            <charset val="204"/>
          </rPr>
          <t xml:space="preserve">споживання за січень 39 кВт.,лютий 10 кВт.
</t>
        </r>
      </text>
    </comment>
    <comment ref="C433" authorId="0" shapeId="0" xr:uid="{878A438B-108D-4EAD-A859-6E16A77C5479}">
      <text>
        <r>
          <rPr>
            <b/>
            <sz val="9"/>
            <color indexed="81"/>
            <rFont val="Tahoma"/>
            <family val="2"/>
            <charset val="204"/>
          </rPr>
          <t>споживання за 769 січень кВт., лютий  3241 кВт.,березень 2757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541" authorId="0" shapeId="0" xr:uid="{777B7D2E-69F1-4172-A766-F304DDE7ABB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 цим МВЗ до 10.01.2026 р контрагент - ТОВ "Бізнес груп О",
після 10.01.2026  - ТОВ "Бровари Констракшн"</t>
        </r>
      </text>
    </comment>
  </commentList>
</comments>
</file>

<file path=xl/sharedStrings.xml><?xml version="1.0" encoding="utf-8"?>
<sst xmlns="http://schemas.openxmlformats.org/spreadsheetml/2006/main" count="583" uniqueCount="559">
  <si>
    <t>МВЗ (Код)</t>
  </si>
  <si>
    <t>20211RC016</t>
  </si>
  <si>
    <t>20211RC026</t>
  </si>
  <si>
    <t>20211RC028</t>
  </si>
  <si>
    <t>20211A2525</t>
  </si>
  <si>
    <t>20260A2525</t>
  </si>
  <si>
    <t>20211RC005</t>
  </si>
  <si>
    <t>20210A8000</t>
  </si>
  <si>
    <t>20211A2526</t>
  </si>
  <si>
    <t>20211I0810</t>
  </si>
  <si>
    <t>20211I0218</t>
  </si>
  <si>
    <t>20211RC027</t>
  </si>
  <si>
    <t>20211I0808</t>
  </si>
  <si>
    <t>20211I0809</t>
  </si>
  <si>
    <t>20211RC004</t>
  </si>
  <si>
    <t>20211J0200</t>
  </si>
  <si>
    <t>20211J0100</t>
  </si>
  <si>
    <t>-</t>
  </si>
  <si>
    <t>Место возникновения затрат</t>
  </si>
  <si>
    <t>Київ,Фора-001 Йорданська,20</t>
  </si>
  <si>
    <t>Київ,Фора-002 Вернадського,16</t>
  </si>
  <si>
    <t>Київ,Фора-003 Шолуденка,16</t>
  </si>
  <si>
    <t>Київ,Фора-005 Воскресенський,20</t>
  </si>
  <si>
    <t>Київ,Фора ІНВЕСТ Лук'яненка,19</t>
  </si>
  <si>
    <t>Київ,Фора-007 Будівельників,29</t>
  </si>
  <si>
    <t>Київ,Фора-008 Котляревського,2</t>
  </si>
  <si>
    <t>Київ,Фора-010 Малишка,15/1</t>
  </si>
  <si>
    <t>Київ,Фора-011 Харківське Шосе,9</t>
  </si>
  <si>
    <t>Київ,Фора-013 Каденюка,2/35</t>
  </si>
  <si>
    <t>Київ,Фора-014 Миропільська,19</t>
  </si>
  <si>
    <t>Київ,Фора-015 Гродненська,1/35</t>
  </si>
  <si>
    <t>Київ,Фора-016 Алматинська,54</t>
  </si>
  <si>
    <t>Київ,Фора-018 Голосіївський,104</t>
  </si>
  <si>
    <t>Київ,Фора-017 Миропільська,1</t>
  </si>
  <si>
    <t>Київ,Фора-019 Верховної Ради,27</t>
  </si>
  <si>
    <t>Київ,Фора-020 Левицького,5</t>
  </si>
  <si>
    <t>Київ,Фора-021 Воскресенський,23Б</t>
  </si>
  <si>
    <t>Київ,Фора-022 Воскресенський,14</t>
  </si>
  <si>
    <t>Київ,Фора-023 Верховної Ради,17</t>
  </si>
  <si>
    <t>Київ,Фора-028 Голосіївський,118</t>
  </si>
  <si>
    <t>Київ,Фора-027 Вірського,6А</t>
  </si>
  <si>
    <t>Київ,Фора-447 Вишняківська,17</t>
  </si>
  <si>
    <t>Київ,Фора-033 Зодчих,52</t>
  </si>
  <si>
    <t>Київ,Фора ІНВЕСТ Харківське Шосе,172</t>
  </si>
  <si>
    <t>Київ,Фора ІНВЕСТ Дяченка,6</t>
  </si>
  <si>
    <t>Київ,Фора-039 Горлівська,124/143</t>
  </si>
  <si>
    <t>Бровари,Фора-046 Броварської Сотні,12</t>
  </si>
  <si>
    <t>Київ,Фора-041 Бажана,30</t>
  </si>
  <si>
    <t>Бородянка,Фора-064 Центральна,343</t>
  </si>
  <si>
    <t>Київ,Фора-065 Рейгана,24</t>
  </si>
  <si>
    <t>Київ,Фора-042 Воскресенський,44</t>
  </si>
  <si>
    <t>Київ,Фора ІНВЕСТ Каденюка,15</t>
  </si>
  <si>
    <t>Житомир,Фора-536 Київська,106</t>
  </si>
  <si>
    <t>Конотоп,Фора-102 Лазаревського,12</t>
  </si>
  <si>
    <t>Київ,Фора-047 Мрії,24</t>
  </si>
  <si>
    <t>Бердичів,Фора-110 Вінницька,18</t>
  </si>
  <si>
    <t>Рокитне,Фора-111 Першотравнева,11</t>
  </si>
  <si>
    <t>Київ,Фора-048 Лісовий,23</t>
  </si>
  <si>
    <t>Київ,Фора-117 Новомостицька,2</t>
  </si>
  <si>
    <t>Київ,Фора-067 Василенко,19</t>
  </si>
  <si>
    <t>Київ,Фора-049 Північна,46</t>
  </si>
  <si>
    <t>Київ,Фора-077 Кубанської України,55</t>
  </si>
  <si>
    <t>Київ,Фора-066 Іжакевича,1/24</t>
  </si>
  <si>
    <t>Київ,Фора-068 Білецького,11</t>
  </si>
  <si>
    <t>Вишневе,Фора-124 Святошинська,40</t>
  </si>
  <si>
    <t>Богуслав,Фора-347 Шевченка,24</t>
  </si>
  <si>
    <t>Буча,Фора-130 Яблунська,203Б</t>
  </si>
  <si>
    <t>Київ,Фора-070 Ялтинська,6</t>
  </si>
  <si>
    <t>Узин,Фора-132 Богуна,21А</t>
  </si>
  <si>
    <t>Новосілки,Фора-133 Садова,6А</t>
  </si>
  <si>
    <t>Коростень,Фора-135 Грушевського,34</t>
  </si>
  <si>
    <t>Миронівка,Фора-136 Бузницького,1</t>
  </si>
  <si>
    <t>Бахмач,Фора-137 Соборності,62Б</t>
  </si>
  <si>
    <t>Київ,Фора-082 Антонова,11</t>
  </si>
  <si>
    <t>Київ,Фора-089 Відрадний,14/45</t>
  </si>
  <si>
    <t>Київ,Фора-386 Чавдар,32</t>
  </si>
  <si>
    <t>Київ,Фора-081 Ратушного,21А</t>
  </si>
  <si>
    <t>Вишневе,Фора-084 Примаченко,7</t>
  </si>
  <si>
    <t>Баришівка,Фора-265 Центральна,15</t>
  </si>
  <si>
    <t>Київ,Фора-083 Солом'янська,40/4</t>
  </si>
  <si>
    <t>Київ,Фора-085 Іваниса,15</t>
  </si>
  <si>
    <t>Київ,Фора ІНВЕСТ Мілютенка,12А</t>
  </si>
  <si>
    <t>Ніжин,Фора-096 Прощенка,12</t>
  </si>
  <si>
    <t>Київ,Фора-093 Кондратюка,2А</t>
  </si>
  <si>
    <t>Київ,Фора ІНВЕСТ Героїв полку Азов,25</t>
  </si>
  <si>
    <t>Київ,Фора-090 Кубанської,України,47</t>
  </si>
  <si>
    <t>Київ,Фора-088 Татарська,3/2</t>
  </si>
  <si>
    <t>Борзна,Фора-100 Шевченка,16</t>
  </si>
  <si>
    <t>Київ,Фора-091 Гавела Вацлава,29</t>
  </si>
  <si>
    <t>Немішаєве,Фора-103 Заводська,49А</t>
  </si>
  <si>
    <t>Вороньків,Фора-326 Вишнева,18</t>
  </si>
  <si>
    <t>Кагарлик,Фора-101 Торгівельна,6</t>
  </si>
  <si>
    <t>Київ,Фора-087 Бальзака,42/20</t>
  </si>
  <si>
    <t>Бориспіль,Фора-108 Київський шлях,100</t>
  </si>
  <si>
    <t>Київ,Фора-272 Червоної Калини,63/12</t>
  </si>
  <si>
    <t>Українка,Фора-114 Юності,3</t>
  </si>
  <si>
    <t>Київ,Фора-095 Алматинська,41Б</t>
  </si>
  <si>
    <t>Київ,Фора-115 Руденка,24</t>
  </si>
  <si>
    <t>Ніжин,Фора-127 Шевченка,20</t>
  </si>
  <si>
    <t>БЦерква,Фора-134 Сквирське Шосе,260А</t>
  </si>
  <si>
    <t>Бердичів,Фора-142 Привокзальна,1А</t>
  </si>
  <si>
    <t>Київ,Фора-158 Бекешкіної,12</t>
  </si>
  <si>
    <t>Бахмач,Фора-156 Мудрого,24</t>
  </si>
  <si>
    <t>Звягель,Фора-159 Київська,6</t>
  </si>
  <si>
    <t>Київ,Фора-105 Руденка,7Б</t>
  </si>
  <si>
    <t>Звягель,Фора-160 Герасимчука,1</t>
  </si>
  <si>
    <t>Київ,Фора-106 Заболотного,48А</t>
  </si>
  <si>
    <t>Київ,Фора-165 Жуля Верна,7</t>
  </si>
  <si>
    <t>Козелець,Фора-179 Соборності,53/1</t>
  </si>
  <si>
    <t>Калинівка,Фора-178 Центральна,78А</t>
  </si>
  <si>
    <t>Димер,Фора-181 Бударіна,5</t>
  </si>
  <si>
    <t>Київ,Фора-109 Доброхотова,11А</t>
  </si>
  <si>
    <t>Березань,Фора-184 Привокзальна,1Б</t>
  </si>
  <si>
    <t>Тетіїв,Фора-185 Соборна,19</t>
  </si>
  <si>
    <t>Київ,Фора-116 Європейського Союзу,94</t>
  </si>
  <si>
    <t>Гостомель,Фора-191 Рекунова,1</t>
  </si>
  <si>
    <t>Київ,Фора-118 Березняківська,36А</t>
  </si>
  <si>
    <t>Глеваха,Фора-187 Вокзальна,18А</t>
  </si>
  <si>
    <t>Київ,Фора-119 Харківське Шосе,8</t>
  </si>
  <si>
    <t>Київ,Фора-126 Парково-Сирецька,12</t>
  </si>
  <si>
    <t>Боярка,Фора-186 Симона Петлюри,2</t>
  </si>
  <si>
    <t>Київ,Фора-198 Кіпріанова,8</t>
  </si>
  <si>
    <t>Київ,Фора-120 Берлінського,14</t>
  </si>
  <si>
    <t>Київ,Фора-121 Глушкова,31А</t>
  </si>
  <si>
    <t>Київ,Фора-199 Миропільська,11</t>
  </si>
  <si>
    <t>Київ,Фора-128 Вишгородська,44</t>
  </si>
  <si>
    <t>Бориспіль,Фора-197 Київський шлях,90</t>
  </si>
  <si>
    <t>Гайсин,Фора-201 1-го Травня,70А</t>
  </si>
  <si>
    <t>Бровари,Фора-208 Грушевського,17</t>
  </si>
  <si>
    <t>Борова,Фора-209 Миру,15</t>
  </si>
  <si>
    <t>Київ,Фора-131 Борщагівська,212</t>
  </si>
  <si>
    <t>Київ,Фора-154 Кустанайська,10</t>
  </si>
  <si>
    <t>Київ,Фора-164 Гавела Вацлава,83</t>
  </si>
  <si>
    <t>Ладижин,Фора-213 Будівельників,15А</t>
  </si>
  <si>
    <t>Вишневе,Фора-079 Освіти,2</t>
  </si>
  <si>
    <t>Гнідин,Фора-220 Олександрівська,22</t>
  </si>
  <si>
    <t>Святопетрів,Фора-219 Володимирська,2Г</t>
  </si>
  <si>
    <t>Бровари,Фора-223 Шевченка,10В</t>
  </si>
  <si>
    <t>Київ,Фора-183 Бальзака,94</t>
  </si>
  <si>
    <t>Вишневе,Фора-212 Чорновола,46Б</t>
  </si>
  <si>
    <t>Київ,Фора-188 Гавела Вацлава,45</t>
  </si>
  <si>
    <t>Київ,Фора-190 Черчилля,33/10</t>
  </si>
  <si>
    <t>Київ,Фора-221 Хмельницького,39/2</t>
  </si>
  <si>
    <t>Київ,Фора-234 Ентузіастів,37</t>
  </si>
  <si>
    <t>Яготин,Фора-233 Незалежності,130</t>
  </si>
  <si>
    <t>Київ,Фора-192 Закревського,93А</t>
  </si>
  <si>
    <t>Носівка,Фора-235 Центральна,39</t>
  </si>
  <si>
    <t>Городня,Фора-242 Чернігівська,26А</t>
  </si>
  <si>
    <t>Бориспіль,Фора-226 Момота,42/5</t>
  </si>
  <si>
    <t>Козин,Фора-240 Солов'яненка,60</t>
  </si>
  <si>
    <t>Старокостянтинів,Фора-239 Миру,19/2</t>
  </si>
  <si>
    <t>Київ,Фора-243 Печенізька,1/7А</t>
  </si>
  <si>
    <t>Бобровиця,Фора-241 Незалежності,40А</t>
  </si>
  <si>
    <t>Київ,Фора-244 Гетьмана,34</t>
  </si>
  <si>
    <t>Київ,Фора-245 Борщагівська,128</t>
  </si>
  <si>
    <t>Бориспіль,Фора-246 Калмикова,2</t>
  </si>
  <si>
    <t>Кагарлик,Фора-247 Незалежності,14</t>
  </si>
  <si>
    <t>Велика Димерка,Фора-248 Промислова,2Б</t>
  </si>
  <si>
    <t>Київ,Фора-250 Ружинська,26/41</t>
  </si>
  <si>
    <t>Христинівка,Фора-253 Українська,39</t>
  </si>
  <si>
    <t>Бородянка,Фора-252 Паркова,2</t>
  </si>
  <si>
    <t>Глеваха,Фора-255 Ботанічна,19</t>
  </si>
  <si>
    <t>Київ,Фора-193 Гавела Вацлава,54/26</t>
  </si>
  <si>
    <t>Київ,Фора-251 Покотила,7/2</t>
  </si>
  <si>
    <t>Гостомель,Фора-238 Свято-Покровська,73В</t>
  </si>
  <si>
    <t>Київ,Фора-194 Лагерна,46/48</t>
  </si>
  <si>
    <t>Бровари,Фора-259 Київська,92</t>
  </si>
  <si>
    <t>Київ,Фора-195 Науки,24</t>
  </si>
  <si>
    <t>Київ,Фора-210 Ревуцького,26</t>
  </si>
  <si>
    <t>Бровари,Фора-258 Оникієнка,20/2</t>
  </si>
  <si>
    <t>Київ,Фора-211 Драгоманова,19</t>
  </si>
  <si>
    <t>Київ,Фора-215 Корольова,8</t>
  </si>
  <si>
    <t>СофБорщагівка,Фора-216 Українки,19</t>
  </si>
  <si>
    <t>Святопетрів,Фора-274 Шевченка,1</t>
  </si>
  <si>
    <t>Київ,Фора-266 Метрологічна,14Б</t>
  </si>
  <si>
    <t>Гнідин,Фора-271 Центральна,23А</t>
  </si>
  <si>
    <t>Київ,Фора-217 Світлицького,26Б</t>
  </si>
  <si>
    <t>Київ,Фора-218 Тампере,12</t>
  </si>
  <si>
    <t>Київ,Фора-225 Новопирогівська,31</t>
  </si>
  <si>
    <t>Требухів,Фора-276 Броварська,19А</t>
  </si>
  <si>
    <t>Гоголів,Фора-280 Київська,167Г</t>
  </si>
  <si>
    <t>Київ,Фора-232 Будівельників,8</t>
  </si>
  <si>
    <t>Київ,Фора-236 Закревського,87</t>
  </si>
  <si>
    <t>Тараща,Фора-287 Хмельницького,6</t>
  </si>
  <si>
    <t>Київ,Фора-249 Левицького,19А</t>
  </si>
  <si>
    <t>Київ,Фора-257 Білецького,3</t>
  </si>
  <si>
    <t>Буча,Фора-283 Склозаводська,10Б</t>
  </si>
  <si>
    <t>Київ,Фора-262 Науки,88</t>
  </si>
  <si>
    <t>Бровари,Фора-289 Незалежності,7</t>
  </si>
  <si>
    <t>НовПетрівці,Фора-290 Свято-Покровськ,222</t>
  </si>
  <si>
    <t>Гора,Фора-293 Калинова,2</t>
  </si>
  <si>
    <t>Київ,Фора-263 Воробйова,11</t>
  </si>
  <si>
    <t>Київ,Фора-264 Зодчих,16</t>
  </si>
  <si>
    <t>Березань,Фора-296 Шевченків Шлях,140А</t>
  </si>
  <si>
    <t>Крюківщина,Фора-294 Жулянська,1А</t>
  </si>
  <si>
    <t>Ніжин,Фора-295 Батюка,9</t>
  </si>
  <si>
    <t>Київ,Фора-267 Дніпроводська,7</t>
  </si>
  <si>
    <t>ПетрБорщагівка,Фора-254 Садова,1Г</t>
  </si>
  <si>
    <t>Ставище,Фора-303 Паркова,4</t>
  </si>
  <si>
    <t>Зазим'я,Фора-300 Лісова,55</t>
  </si>
  <si>
    <t>Київ,Фора-270 Вереснева,24</t>
  </si>
  <si>
    <t>Княжичі,Фора-298 Лагунової,74</t>
  </si>
  <si>
    <t>Київ,Фора-273 Мрії,16</t>
  </si>
  <si>
    <t>Київ,Фора-275 Броварський,51</t>
  </si>
  <si>
    <t>Ірпінь,Фора-305 Центральна,29</t>
  </si>
  <si>
    <t>Київ,Фора-277 Якуба Коласа,25</t>
  </si>
  <si>
    <t>Київ,Фора-281 Кирилівська,122/1</t>
  </si>
  <si>
    <t>Клавдієво-Тарасов,Фора-310 Центральна,2Ж</t>
  </si>
  <si>
    <t>Київ,Фора-282 Ентузіастів,7</t>
  </si>
  <si>
    <t>Київ,Фора-284 Деревлянська,14</t>
  </si>
  <si>
    <t>Калита,Фора-315 Миру,45</t>
  </si>
  <si>
    <t>Гребінки,Фора-317 Київська,99</t>
  </si>
  <si>
    <t>Мила,Фора-314 Комарова,44В</t>
  </si>
  <si>
    <t>Козин,Фора-311 Обухівське Шосе,39</t>
  </si>
  <si>
    <t>СофБорщагівка,Фора-319 Сагайдачного,20А</t>
  </si>
  <si>
    <t>ПетрБорщагівка,Фора-318 Львівська,1А</t>
  </si>
  <si>
    <t>Ірпінь,Фора-320 Університетська,2Ф/3</t>
  </si>
  <si>
    <t>Глеваха,Фора-322 Грушевського,42</t>
  </si>
  <si>
    <t>Бориспіль,Фора-323 Головатого,30</t>
  </si>
  <si>
    <t>Коцюбинське,Фора-324 Доківська,14/1</t>
  </si>
  <si>
    <t>Київ,Фора-285 Єфремова,8А</t>
  </si>
  <si>
    <t>Погреби,Фора-316 Соборна,2</t>
  </si>
  <si>
    <t>Калинівка,Фора-332 Чернігівська,12</t>
  </si>
  <si>
    <t>Ірпінь,Фора-333 Ново-Оскольська,2П</t>
  </si>
  <si>
    <t>Лютіж,Фора-330 Визволителів,56А</t>
  </si>
  <si>
    <t>Ірпінь,Фора-334 Сковороди,11</t>
  </si>
  <si>
    <t>Гатне,Фора-329 Інститутська,16</t>
  </si>
  <si>
    <t>Хотянівка,Фора-327 Валова,2В</t>
  </si>
  <si>
    <t>Київ,Фора-286 Бучми,6А</t>
  </si>
  <si>
    <t>Білогородка,Фора-335 Володимирська,35/1</t>
  </si>
  <si>
    <t>Ворзель,Фора-321 Курортна,60А</t>
  </si>
  <si>
    <t>Віта-Поштова,Фора-331 Боярська,4Б</t>
  </si>
  <si>
    <t>Бровари,Фора-336 Москаленка,39</t>
  </si>
  <si>
    <t>Вишгород,Фора-337 Ягідна,5А</t>
  </si>
  <si>
    <t>Київ,Фора-288 Лук'янівська,1</t>
  </si>
  <si>
    <t>Бровари,Фора-338 Київська,4</t>
  </si>
  <si>
    <t>Київ,Фора-292 Гузара,28</t>
  </si>
  <si>
    <t>Київ,Фора-348 Осьмака,1Б</t>
  </si>
  <si>
    <t>Крюківщина,Фора-350 Одеська,70</t>
  </si>
  <si>
    <t>Славутич,Фора-349 Поліський квартал,60</t>
  </si>
  <si>
    <t>Гореничі,Фора-341 АД О100720 /М06</t>
  </si>
  <si>
    <t>Гнідин,Фора-351 Олександрівська,56</t>
  </si>
  <si>
    <t>Макарів,Фора-344 Ростовського,1</t>
  </si>
  <si>
    <t>Вишневе,Фора-342 Київська,2Л</t>
  </si>
  <si>
    <t>Вишгород,Фора-345 Мазепи,2А</t>
  </si>
  <si>
    <t>Чубинське,Фора-346 Бориспільська,8</t>
  </si>
  <si>
    <t>Бориспіль,Фора-353 Київський шлях,60</t>
  </si>
  <si>
    <t>Пісківка,Фора-340 Привокзальна,16Б</t>
  </si>
  <si>
    <t>Іванків,Фора-355 Габорака,32</t>
  </si>
  <si>
    <t>Чабани,Фора-359 Машинобудівників,5Д</t>
  </si>
  <si>
    <t>Катюжанка,Фора-360 Київська,60</t>
  </si>
  <si>
    <t>Лісники,Фора-354 Родини Рубанів,164А</t>
  </si>
  <si>
    <t>Хотів,Фора-362 Шевченка,11</t>
  </si>
  <si>
    <t>Бориспіль,Фора-357 Київський шлях,14Ж</t>
  </si>
  <si>
    <t>Овруч,Фора-385 Богуна,8В</t>
  </si>
  <si>
    <t>Прилуки,Фора-363 Переяслівська,59А</t>
  </si>
  <si>
    <t>Козятин,Фора-365 Грушевського,46</t>
  </si>
  <si>
    <t>Боярка,Фора-356 Михайлівська,6</t>
  </si>
  <si>
    <t>ПетрБорщагівка,Фора-361 Соборна,16</t>
  </si>
  <si>
    <t>Гостомель,Фора-352 Садова,2</t>
  </si>
  <si>
    <t>Іванків,Фора-367 Харківська,22Г</t>
  </si>
  <si>
    <t>Яготин,Фора-371 Незалежності,19</t>
  </si>
  <si>
    <t>Гостомель,Фора-369 Гостомельське Шосе,1</t>
  </si>
  <si>
    <t>Новосілки,Фора-358 Приміська,26</t>
  </si>
  <si>
    <t>Погреби,Фора-366 Погребський шлях,39</t>
  </si>
  <si>
    <t>Красилівка,Фора-382 Європейська,1</t>
  </si>
  <si>
    <t>Київ,Фора-297 Верхогляда,2А</t>
  </si>
  <si>
    <t>Київ,Фора-304 Заболотного,128А</t>
  </si>
  <si>
    <t>Новосілки,Фора-376 Васильківська,21</t>
  </si>
  <si>
    <t>Сквира,Фора-377 Соборна,7</t>
  </si>
  <si>
    <t>Ірпінь,Фора-378 Чайковського,5</t>
  </si>
  <si>
    <t>Димер,Фора-375 Соборна,73</t>
  </si>
  <si>
    <t>Київ,Фора-306 Тичини,15А</t>
  </si>
  <si>
    <t>Вишневе,Фора-389 Вишні,3</t>
  </si>
  <si>
    <t>Переяслав,Фора-384 Хмельницького,96</t>
  </si>
  <si>
    <t>Фастів,Фора-398 Мазепи,6</t>
  </si>
  <si>
    <t>Київ,Фора-308 Пулюя,5</t>
  </si>
  <si>
    <t>Шевченкове,Фора-372 Ювілейний,1</t>
  </si>
  <si>
    <t>Вишневе,Фора-401 Машинобудівників,11А</t>
  </si>
  <si>
    <t>Київ,Фора-309 Чорних Запорожців,28</t>
  </si>
  <si>
    <t>Брусилів,Фора-390 Іларіона,20</t>
  </si>
  <si>
    <t>СофБорщагівка,Фора-404 Небесної Сотні,38</t>
  </si>
  <si>
    <t>Щасливе,Фора-312 Харківське Шосе,15</t>
  </si>
  <si>
    <t>Боярка,Фора-400 Франка,101А</t>
  </si>
  <si>
    <t>СофБорщагівка,Фора-313 Яблунева,13А</t>
  </si>
  <si>
    <t>Ромни,Фора-406 Коржівська,100</t>
  </si>
  <si>
    <t>Київ,Фора-328 Португальська,2А</t>
  </si>
  <si>
    <t>Київ,Фора-411 Гавела Вацлава,4</t>
  </si>
  <si>
    <t>Київ,Фора-408 Зарічна,6</t>
  </si>
  <si>
    <t>Київ,Фора-403 Полуботка,9Г</t>
  </si>
  <si>
    <t>Київ,Фора-399 Науки,58В</t>
  </si>
  <si>
    <t>Київ,Фора-339 Волинська,9Б</t>
  </si>
  <si>
    <t>Київ,Фора ІНВЕСТ Європейського Союзу,41Д</t>
  </si>
  <si>
    <t>Київ,Фора-364 Тираспольська,56</t>
  </si>
  <si>
    <t>Коцюбинське,Фора-374 Пономарьова,26</t>
  </si>
  <si>
    <t>Володарка,Фора-430 Миру,5</t>
  </si>
  <si>
    <t>Київ,Фора-388 Ясна,8</t>
  </si>
  <si>
    <t>Васильків,Фора-380 Київський шлях,21,23</t>
  </si>
  <si>
    <t>Попільня,Фора-395 Шайдюка,5А</t>
  </si>
  <si>
    <t>Житомир,Фора-414 Лятошинського,2</t>
  </si>
  <si>
    <t>Київ,Фора-463 Івасюка,39В</t>
  </si>
  <si>
    <t>Ірпінь,Фора-462 Антонова,6</t>
  </si>
  <si>
    <t>Київ,Фора-464 Оболонський,51В</t>
  </si>
  <si>
    <t>Вінниця,Фора-475 Чорновола,29Б</t>
  </si>
  <si>
    <t>Житомир,Фора-468 Кибальчича,9</t>
  </si>
  <si>
    <t>Рівне,Фора-474 Київська,10</t>
  </si>
  <si>
    <t>Київ,Фора-477 Бальзака,85</t>
  </si>
  <si>
    <t>Звенигородка,Фора-481 Грушевського,140</t>
  </si>
  <si>
    <t>Київ,Фора-391 Ізяславський,46-49</t>
  </si>
  <si>
    <t>Вінниця,Фора-478 600-річчя,17</t>
  </si>
  <si>
    <t>ПетрБорщагівка,Фора-393 Княгині Ольги,67</t>
  </si>
  <si>
    <t>Вінниця,Фора-479 Коцюбинського,2А</t>
  </si>
  <si>
    <t>Хмільник,Фора-482 Свободи,21Б</t>
  </si>
  <si>
    <t>Київ,Фора-394 Лесі Українки,28</t>
  </si>
  <si>
    <t>Корс-Шевченківськ,Фора-484 Гер Майдану,7</t>
  </si>
  <si>
    <t>Київ,Фора-402 Юнкерова,92А</t>
  </si>
  <si>
    <t>БЦерква,Фора-420 Олександрійський,58Г</t>
  </si>
  <si>
    <t>Київ,Фора-489 Братства Тарасівців,3</t>
  </si>
  <si>
    <t>Гребінка,Фора-486 Магістральна,49</t>
  </si>
  <si>
    <t>Київ,Фора-469 Шухевича,12</t>
  </si>
  <si>
    <t>Летичів,Фора-493 Шевченка,1А</t>
  </si>
  <si>
    <t>БЦерква,Фора-476 Незалежності,57</t>
  </si>
  <si>
    <t>Київ,Фора-490 Повітряних Сил,44</t>
  </si>
  <si>
    <t>Обухів,Фора-491 Каштанова,6/1</t>
  </si>
  <si>
    <t>Пирятин,Фора-487 Майдан Незалежності,2В</t>
  </si>
  <si>
    <t>Київ,Фора-396 Булаховського,3А</t>
  </si>
  <si>
    <t>Чуднів,Фора-494 Героїв Майдану,156</t>
  </si>
  <si>
    <t>Чайки,Фора-392 Грушевського,12</t>
  </si>
  <si>
    <t>Маньківка,Фора-470 Соборна,12</t>
  </si>
  <si>
    <t>Рівне,Фора-500 Сагайдачного,4А</t>
  </si>
  <si>
    <t>Літин,Фора-492 Соборна,22</t>
  </si>
  <si>
    <t>Київ,Фора-409 Лютеранська,3</t>
  </si>
  <si>
    <t>Київ,Фора-410 Преображенська,28</t>
  </si>
  <si>
    <t>Київ,Фора-416 Донецька,8А</t>
  </si>
  <si>
    <t>Кам'янка-Бузька,Фора-502 Тютюнника,7Б</t>
  </si>
  <si>
    <t>Теплик,Фора-503 Незалежності,28</t>
  </si>
  <si>
    <t>Миколаїв,Фора-511 Чайковського,18</t>
  </si>
  <si>
    <t>Київ,Фора-418 Берестейський,60</t>
  </si>
  <si>
    <t>Згурівка,Фора-501 Центральна,4</t>
  </si>
  <si>
    <t>Київ,Фора-428 Чорновола,27</t>
  </si>
  <si>
    <t>Київ,Фора-522 Миру,4</t>
  </si>
  <si>
    <t>Бишів,Фора-516 Київська,54</t>
  </si>
  <si>
    <t>Київ,Фора-465 Парково-Сирецька,1</t>
  </si>
  <si>
    <t>Гнівань,Фора-518 Соборна,45</t>
  </si>
  <si>
    <t>Могилів-Подільський,Фора-508 Стависьк,43</t>
  </si>
  <si>
    <t>Київ,Фора-495 Оболонський,26</t>
  </si>
  <si>
    <t>Полонне,Фора-528 Лесі Українки,174Б</t>
  </si>
  <si>
    <t>Київ,Фора-533 Преображенська,7</t>
  </si>
  <si>
    <t>Житомир,Фора-498 Сльоти,60а</t>
  </si>
  <si>
    <t>Бердичів,Фора-473 Європейська, 5/7</t>
  </si>
  <si>
    <t>Гельмязів,Фора-534 Центральна,6</t>
  </si>
  <si>
    <t>Ружин,Фора-530 Незалежності,9/1</t>
  </si>
  <si>
    <t>Київ,Фора-527 Маланюка Євгена,101</t>
  </si>
  <si>
    <t>Шпола,Фора-524 Соборна,33</t>
  </si>
  <si>
    <t>Київ,Фора-427 Воскресенська,2В</t>
  </si>
  <si>
    <t>Українка,Фора-480 Соснова,5А</t>
  </si>
  <si>
    <t>Нове,Фора-519 Крушельницької,1</t>
  </si>
  <si>
    <t>Тульчин,Фора-488 Леонтовича,50</t>
  </si>
  <si>
    <t>Київ,Фора-496 Біличанська,1</t>
  </si>
  <si>
    <t>Погребище,Фора-535 Хмельницького,107</t>
  </si>
  <si>
    <t>Буча,Фора-514 Гмирі,7Б</t>
  </si>
  <si>
    <t>Київ,Фора-540 Столичне шосе,1 П-10</t>
  </si>
  <si>
    <t>Бережани,Фора-509 Тернопільська,9</t>
  </si>
  <si>
    <t>СофБорщагівка,Фора-506 Житня,12</t>
  </si>
  <si>
    <t>Корюківка,Фора-541 Шевченка,73А</t>
  </si>
  <si>
    <t>Чернігів,Фора-538 Миру,68</t>
  </si>
  <si>
    <t>Іллінці,Фора-542 Європейська,22</t>
  </si>
  <si>
    <t>Ірпінь,Фора-544 Котляревського,56</t>
  </si>
  <si>
    <t>Коростень,Фора-513 Базарна площа,18В</t>
  </si>
  <si>
    <t>Київ,Фора-499 Йорданська,10</t>
  </si>
  <si>
    <t>Київ,Фора-507 Князя Мономаха,31</t>
  </si>
  <si>
    <t>Київ,Фора-517 Брайчевського,13</t>
  </si>
  <si>
    <t>Київ,Фора-521 Зодчих,62</t>
  </si>
  <si>
    <t>Біла Церква,Фора-421 Шевченка,87</t>
  </si>
  <si>
    <t>Бердичів,Фора-553 Вінницька,71</t>
  </si>
  <si>
    <t>Київ,Фора-523 Кибальчича,23</t>
  </si>
  <si>
    <t>Козин,Фора-555 Партизанська,2Д</t>
  </si>
  <si>
    <t>Київ,Фора-531 Воскресенський,32</t>
  </si>
  <si>
    <t>Іванковичі,Фора-561 Соборна,10Ц</t>
  </si>
  <si>
    <t>Київ,Фора-532 Олени Теліги,31/1</t>
  </si>
  <si>
    <t>Київ,Фора-543 Ревуцького, 52</t>
  </si>
  <si>
    <t>Рокитне,Фора-564 Вокзальна,68Б</t>
  </si>
  <si>
    <t>Звягель,Фора-565 Глухова,9</t>
  </si>
  <si>
    <t>Умань,Фора-Proj-01 Комарова,21А</t>
  </si>
  <si>
    <t>Сосниця,Фора-539 Чернігівська,28</t>
  </si>
  <si>
    <t>Київ,Фора-Proj-02 Чибінєєвих,8</t>
  </si>
  <si>
    <t>Київ,Фора-558 Вірського,37</t>
  </si>
  <si>
    <t>Станишівка,Фора-566 Сквирське шосе,3</t>
  </si>
  <si>
    <t>Київ,Фора-567 Дмитрівська,96/98</t>
  </si>
  <si>
    <t>Боярка,Фора-549 Гоголя50Б</t>
  </si>
  <si>
    <t>Золотоноша,Фора-Proj-03 Шевченка,76Б</t>
  </si>
  <si>
    <t>Рівне,Фора-563 Соборна,289А</t>
  </si>
  <si>
    <t>Крюківщина,Фора-Proj-04 Володимирська,1</t>
  </si>
  <si>
    <t>Монастирище,Фора-537 Соборна,122О</t>
  </si>
  <si>
    <t>Київ,Фора-Proj-05 Пчілки,7</t>
  </si>
  <si>
    <t>Вишеньки,Фора-Proj-06 Центральна</t>
  </si>
  <si>
    <t>Київ,Фора-Project-12 Єфремова,23</t>
  </si>
  <si>
    <t>Ржищів,Фора-525 Київський Шлях,1</t>
  </si>
  <si>
    <t>Дунаївці,Фора-551 Шевченка,57</t>
  </si>
  <si>
    <t>Київ,Фора-Proj-07 Бажана,14А</t>
  </si>
  <si>
    <t>Лисянка,Фора-Proj-08 Миру,9</t>
  </si>
  <si>
    <t>Київ,Фора-520 Прип'ятська,11Б</t>
  </si>
  <si>
    <t>Київ,Фора-529 Практична,21</t>
  </si>
  <si>
    <t>Любар,Фора-Proj-09 Перемоги,1</t>
  </si>
  <si>
    <t>Бровари,Фора-424 Петлюри,28</t>
  </si>
  <si>
    <t>Тернопіль,Фора-568 Братів Бойчуків,5А</t>
  </si>
  <si>
    <t>Тернопіль,Фора-569 Вербицького,4</t>
  </si>
  <si>
    <t>Тернопіль,Фора-Proj-10 Лучаківського,15</t>
  </si>
  <si>
    <t>Тернопіль,Фора-Proj-11 Нечая</t>
  </si>
  <si>
    <t>Тернопіль,Фора-Proj-12 Симоненка,3</t>
  </si>
  <si>
    <t>Тарасівка,Фора-Proj-13 Шевченка,180</t>
  </si>
  <si>
    <t>Київ,Фора-Proj-14 Григоренка,7</t>
  </si>
  <si>
    <t>Гоголів,Фора-Proj-15 Київська</t>
  </si>
  <si>
    <t>Ватутіне,Фора-Project-10 Ювілейний,ХХ</t>
  </si>
  <si>
    <t>Ірпінь,Фора-550 Соборна,2К/46</t>
  </si>
  <si>
    <t>Київ,Фора-Proj-16 Закревського,12</t>
  </si>
  <si>
    <t>Радомишль,Фора-Proj-17 Соборний майд,10</t>
  </si>
  <si>
    <t>Київ,Фора-Proj-18 Сікорського,1А</t>
  </si>
  <si>
    <t>Ірпінь,Фора-407 Тургенівська,21</t>
  </si>
  <si>
    <t>Іршанськ,Фора-515 Гулія,3</t>
  </si>
  <si>
    <t>Рівне,Фора-583 Княгині Ольги,1(Сам)</t>
  </si>
  <si>
    <t>Рівне,Фора-584 Теліги,21А(Сам)</t>
  </si>
  <si>
    <t>Київ,Фора-Proj-19 Некрасова (ДібровПарк)</t>
  </si>
  <si>
    <t>Київ,Фора-Proj-20 Зарічна (Славутич)</t>
  </si>
  <si>
    <t>Тальне,Фора-Project-09 Зах України,7</t>
  </si>
  <si>
    <t>Сарни,Фора-581 Польська,1(Сам)</t>
  </si>
  <si>
    <t>Сарни,Фора-Proj-31 Ковельска,10(Сам)</t>
  </si>
  <si>
    <t>Сарни,Фора-582 Європейська,31(Сам)</t>
  </si>
  <si>
    <t>Сарни,Фора ІНВЕСТ Привокзальна,29(Сам)</t>
  </si>
  <si>
    <t>Буча,Фора-526 Захисників України,127в</t>
  </si>
  <si>
    <t>Чернігів,Фора-Proj-21 Перемоги,41</t>
  </si>
  <si>
    <t>Васильків,Фора-Proj-22 Декабристів,180</t>
  </si>
  <si>
    <t>Чернігів,Фора-Project-14 Миру,51</t>
  </si>
  <si>
    <t>Хмельницький,Фора-570 Шухевича,6/1</t>
  </si>
  <si>
    <t>Хмельницький,Фора-571 Трудова,2В</t>
  </si>
  <si>
    <t>Київ,Фора-Proj-23 Причальна (Грейт)</t>
  </si>
  <si>
    <t>Рокитне,Фора-587 Шевченка,9(Сам)</t>
  </si>
  <si>
    <t>Дубровиця,Фора-Proj-26 Воробинск,17(Сам)</t>
  </si>
  <si>
    <t>Зарічне,Фора-590 Фестивальн,18А(Сам)</t>
  </si>
  <si>
    <t>Київ,Фора-545 Солов'яненка,7</t>
  </si>
  <si>
    <t>Бровари,Фора-432 Чубинського,3</t>
  </si>
  <si>
    <t>Київ,Фора-433 Колоса,1Б</t>
  </si>
  <si>
    <t>Чубинське,Фора-434 Яблунева,6А</t>
  </si>
  <si>
    <t>Київ,Фора-435 Деміївська,13</t>
  </si>
  <si>
    <t>Київ,Фора-437 Сверстюка,6А</t>
  </si>
  <si>
    <t>Київ,Фора-440 Максимовича,3Д</t>
  </si>
  <si>
    <t>Бровари,Фора-442 Чорновола,6</t>
  </si>
  <si>
    <t>Київ,Фора-443 Мстиславича,28А</t>
  </si>
  <si>
    <t>Київ,Фора-547 Чорних Запорожців,21</t>
  </si>
  <si>
    <t>Київ,Фора-449 Голосіївська,18</t>
  </si>
  <si>
    <t>Київ,Фора-450 Жуля Верна,13</t>
  </si>
  <si>
    <t>Київ,Фора-452 Максимовича,26Б</t>
  </si>
  <si>
    <t>Київ,Фора-451 Русанівський,12</t>
  </si>
  <si>
    <t>Київ,Фора-548 Райдужна,67</t>
  </si>
  <si>
    <t>Бровари,Фора-458 Соборна,20</t>
  </si>
  <si>
    <t>Бровари,Фора-504 Симоненка,2А</t>
  </si>
  <si>
    <t>Київ,Фора-505 ФП Столичне шосе,1 П-9</t>
  </si>
  <si>
    <t>Київ,Фора-510 Олеся,8/17</t>
  </si>
  <si>
    <t>СофБорщагівка,Фора-512 Амосова,67/128</t>
  </si>
  <si>
    <t>Київ,Фора-554 Балтійський,3А</t>
  </si>
  <si>
    <t>Київ,Фора-552 Світлицького,23</t>
  </si>
  <si>
    <t>Гатне,Фора-546 Приозерний,6</t>
  </si>
  <si>
    <t>Київ,Фора-557 Ново-Дарницька,27</t>
  </si>
  <si>
    <t>Київ,Фора-559 Заболотного,1А</t>
  </si>
  <si>
    <t>Київ,Фора-562 ФП Повітряних Сил,56Б</t>
  </si>
  <si>
    <t>Киев,Фора-572 Трускавецька,8</t>
  </si>
  <si>
    <t>ФудПод(Project)-10_Киев, Дарницкий</t>
  </si>
  <si>
    <t>ФудПод(Project)-11_Киев, Голосеевский</t>
  </si>
  <si>
    <t>ФудПод(Project)-12_Киев, Голосеевский</t>
  </si>
  <si>
    <t>ФудПод(Project)-13_Киев, Голосеевский</t>
  </si>
  <si>
    <t>ФудПод(Project)-14_Киев, Дарницкий</t>
  </si>
  <si>
    <t>ФудПод(Project)-15_Киев, Дарницкий</t>
  </si>
  <si>
    <t>ФудПод(Project)-16_Киев, Днепровский</t>
  </si>
  <si>
    <t>ФудПод(Project)-17_Киев, Днепровский</t>
  </si>
  <si>
    <t>ФудПод(Project)-18_Киев, Днепровский</t>
  </si>
  <si>
    <t>ФудПод(Project)-19_Киев, Соломенский</t>
  </si>
  <si>
    <t>ФудПод(Project)-20_Киев, Соломенский</t>
  </si>
  <si>
    <t>ФудПод(Project)-21_Киев, Днепровский</t>
  </si>
  <si>
    <t>ФудПод(Project)-22_Киев, Днепровский</t>
  </si>
  <si>
    <t>ФудПод(Project)-23_Киев, Соломенский</t>
  </si>
  <si>
    <t>ФудПод(Project)-24_Киев, Соломенский</t>
  </si>
  <si>
    <t>ФудПод(Project)-25_Киев, Соломенский</t>
  </si>
  <si>
    <t>ФудПод(Project)-26_Киев, Шевченковский</t>
  </si>
  <si>
    <t>ФудПод(Project)-27_Киев, Днепровский</t>
  </si>
  <si>
    <t>ФудПод(Project)-28_Киев, Днепровский</t>
  </si>
  <si>
    <t>ФудПод(Project)-29_Киев, Днепровский</t>
  </si>
  <si>
    <t>ФудПод(Project)-30_Киев, Соломенский</t>
  </si>
  <si>
    <t>ФудПод(Project)-31_Киев, Соломенский</t>
  </si>
  <si>
    <t>ФудПод(Project)-32_Киев, Соломенский</t>
  </si>
  <si>
    <t>ФудПод(Project)-33_Киев, Соломенский</t>
  </si>
  <si>
    <t>ФудПод(Project)-34_Киев, Соломенский</t>
  </si>
  <si>
    <t>ФудПод(Project)-35_Киев, Шевченковский</t>
  </si>
  <si>
    <t>ФудПод(Project)-36Киев, Шевченковский</t>
  </si>
  <si>
    <t>ФудПод(Project)-37_Киев, Шевченковский</t>
  </si>
  <si>
    <t>ФудПод(Project)-38_Киев, Дарницкий</t>
  </si>
  <si>
    <t>ФудПод(Project)-39_Киев, Днепровский</t>
  </si>
  <si>
    <t>ФудПод(Project)-40_Киев, Днепровский</t>
  </si>
  <si>
    <t>ФудПод(Project)-41_Київ</t>
  </si>
  <si>
    <t>ФудПод(Project)-42_Київ</t>
  </si>
  <si>
    <t>ФудПод(Project)-43_Київ</t>
  </si>
  <si>
    <t>ФудПод(Project)-44_Київ</t>
  </si>
  <si>
    <t>ФудПод(Project)-45_Київ</t>
  </si>
  <si>
    <t>ФудПод(Project)-46_Київ</t>
  </si>
  <si>
    <t>ФудПод(Project)-47_Київ</t>
  </si>
  <si>
    <t>ФудПод(Project)-48_Київ</t>
  </si>
  <si>
    <t>ФудПод(Project)-49_Київ</t>
  </si>
  <si>
    <t>ФудПод(Project)-50_Київ</t>
  </si>
  <si>
    <t>ФудПод(Project)-51_Київ</t>
  </si>
  <si>
    <t>ФудПод(Project)-52_Київ</t>
  </si>
  <si>
    <t>ФудПод(Project)-53_Київ</t>
  </si>
  <si>
    <t>ФудПод(Project)-54_Київ</t>
  </si>
  <si>
    <t>ФудПод(Project)-55_Київ</t>
  </si>
  <si>
    <t>ФудПод(Project)-56_Київ</t>
  </si>
  <si>
    <t>ФудПод(Project)-57_Київ</t>
  </si>
  <si>
    <t>Фора Дирекція 5001</t>
  </si>
  <si>
    <t>Київ,Фора-560 Тростянецька,4/2</t>
  </si>
  <si>
    <t>Фасоль Дирекція 5014</t>
  </si>
  <si>
    <t>Київ,Фора-572 Дарницький,23</t>
  </si>
  <si>
    <t>Київ,Фора ІНВЕСТ Воскресенський,19Б</t>
  </si>
  <si>
    <t>Київ,Фора ІНВЕСТ Пластова,15</t>
  </si>
  <si>
    <t>Київ,Фора Склад МТЗ Алматинська,35А</t>
  </si>
  <si>
    <t>Київ,Фора ІНВЕСТ Марганецька,22</t>
  </si>
  <si>
    <t>Київ,Фора ІНВЕСТ Райдужна,25</t>
  </si>
  <si>
    <t>Київ,Фора ІНВЕСТ Броварський,3Г</t>
  </si>
  <si>
    <t>Київ,Фора ІНВЕСТ Черемшини,17</t>
  </si>
  <si>
    <t>Київ,Фора-431 Лісовий,15</t>
  </si>
  <si>
    <t>Ірпінь,Фора ІНВЕСТ Шевченка,3/1</t>
  </si>
  <si>
    <t>Київ,Фора-445 Каховська,62А</t>
  </si>
  <si>
    <t>Київ,Фора-454 Світличного,4</t>
  </si>
  <si>
    <t>Київ,Фора-556 Княжий Затон,2/30</t>
  </si>
  <si>
    <t>СофБорщагівка,Фора ІНВЕСТ Микільська,8Б</t>
  </si>
  <si>
    <t>ПетрБорщагівк,Фора ІНВЕСТ Софіївський,26</t>
  </si>
  <si>
    <t>Київ,Фора Алішера Навої,76</t>
  </si>
  <si>
    <t>Київ,Фора ІНВЕСТ Бажана,1Ц</t>
  </si>
  <si>
    <t>Вишневе,Фора ІНВЕСТ Витянська,2</t>
  </si>
  <si>
    <t>Дніпрянка Дирекція 5002</t>
  </si>
  <si>
    <t>Харків,Фора ІНВЕСТ Перемоги,52Д</t>
  </si>
  <si>
    <t>Харків,Фора ІНВЕСТ Роганська,13</t>
  </si>
  <si>
    <t>Харків,Фора ІНВЕСТ Героїв Харкова,300А</t>
  </si>
  <si>
    <t>Київ,Фора ЦЕХ Тісто Стальского,23</t>
  </si>
  <si>
    <t>Київ,Фора МРЦ Зрошувальна,5</t>
  </si>
  <si>
    <r>
      <t xml:space="preserve">Квітневе,Фора СРЦ Гоголівська,1А (15000 кв.м.   </t>
    </r>
    <r>
      <rPr>
        <b/>
        <sz val="8"/>
        <color theme="1"/>
        <rFont val="Arial"/>
        <family val="2"/>
        <charset val="204"/>
      </rPr>
      <t>Техенерготрейд</t>
    </r>
    <r>
      <rPr>
        <sz val="8"/>
        <color theme="1"/>
        <rFont val="Arial"/>
        <family val="2"/>
        <charset val="204"/>
      </rPr>
      <t xml:space="preserve">  дог.ор.від 08.2022)  </t>
    </r>
  </si>
  <si>
    <r>
      <t xml:space="preserve">Квітневе,Фора СРЦ Гоголівська,1А </t>
    </r>
    <r>
      <rPr>
        <b/>
        <sz val="8"/>
        <color theme="1"/>
        <rFont val="Arial"/>
        <family val="2"/>
        <charset val="204"/>
      </rPr>
      <t>"Бізнес Груп"   сухий</t>
    </r>
  </si>
  <si>
    <r>
      <t xml:space="preserve">Квітневе,Фора Скороп РЦ Гоголівська,1-А  (11512 кв.м </t>
    </r>
    <r>
      <rPr>
        <b/>
        <sz val="8"/>
        <color theme="1"/>
        <rFont val="Arial"/>
        <family val="2"/>
        <charset val="204"/>
      </rPr>
      <t>"Бровари Констракшн"</t>
    </r>
    <r>
      <rPr>
        <sz val="8"/>
        <color theme="1"/>
        <rFont val="Arial"/>
        <family val="2"/>
      </rPr>
      <t xml:space="preserve">) </t>
    </r>
    <r>
      <rPr>
        <b/>
        <sz val="8"/>
        <color theme="1"/>
        <rFont val="Arial"/>
        <family val="2"/>
        <charset val="204"/>
      </rPr>
      <t>холод+заморозка</t>
    </r>
  </si>
  <si>
    <t>РЦ ХАБ Стелажне</t>
  </si>
  <si>
    <t>Квітневе,Фора ФАСОВКА РЦ Гоголівськ,1-А</t>
  </si>
  <si>
    <t>Фора ЦЕХ Риба</t>
  </si>
  <si>
    <r>
      <t xml:space="preserve">Квітневе,Фора Тарний Склад Гоголів,1-А   (766 кв.м </t>
    </r>
    <r>
      <rPr>
        <b/>
        <i/>
        <sz val="8"/>
        <color theme="1"/>
        <rFont val="Arial"/>
        <family val="2"/>
        <charset val="204"/>
      </rPr>
      <t>Техенерготрейд</t>
    </r>
    <r>
      <rPr>
        <sz val="8"/>
        <color theme="1"/>
        <rFont val="Arial"/>
        <family val="2"/>
        <charset val="204"/>
      </rPr>
      <t xml:space="preserve"> дог.ор.від 01.08.2025)</t>
    </r>
  </si>
  <si>
    <t>Київ,Фора Стальского,23</t>
  </si>
  <si>
    <t>Гостомель,Фора ТРЦ Гостомельське Шосе,1</t>
  </si>
  <si>
    <t>Вишневе,Фора ХОСТЕЛ Київська,2К</t>
  </si>
  <si>
    <t>СофБорщагівка,Фора-578 Чубинського,8А</t>
  </si>
  <si>
    <t>Умань,Фора-575 Захисників України,21Б</t>
  </si>
  <si>
    <t>БЦерква,Фора-202 Павліченко,63</t>
  </si>
  <si>
    <t>Ржищів,Фора-231 Соборна,23</t>
  </si>
  <si>
    <t>Боярка,Фора-299 Молодіжна,76А</t>
  </si>
  <si>
    <t>Житомир,Фора-585 Чуднівська,94</t>
  </si>
  <si>
    <t>kwt</t>
  </si>
  <si>
    <t>uah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</si>
</sst>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_-* #,##0.00\ _₴_-;\-* #,##0.00\ _₴_-;_-* &quot;-&quot;??\ _₴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Arial"/>
      <family val="2"/>
      <charset val="204"/>
    </font>
    <font>
      <sz val="8"/>
      <name val="Arial"/>
      <family val="2"/>
    </font>
    <font>
      <b/>
      <sz val="8"/>
      <name val="Arial"/>
      <family val="2"/>
      <charset val="204"/>
    </font>
    <font>
      <sz val="8"/>
      <color theme="1"/>
      <name val="Arial"/>
      <family val="2"/>
    </font>
    <font>
      <sz val="11"/>
      <color theme="1"/>
      <name val="Calibri"/>
      <family val="2"/>
    </font>
    <font>
      <sz val="8"/>
      <color rgb="FF000000"/>
      <name val="Arial"/>
      <family val="2"/>
      <charset val="204"/>
    </font>
    <font>
      <sz val="8"/>
      <color rgb="FF000000"/>
      <name val="Arial"/>
      <family val="2"/>
    </font>
    <font>
      <b/>
      <sz val="8"/>
      <color theme="1"/>
      <name val="Arial"/>
      <family val="2"/>
      <charset val="204"/>
    </font>
    <font>
      <b/>
      <i/>
      <sz val="8"/>
      <color theme="1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8"/>
      <color rgb="FFBCBEC4"/>
      <name val="Arial"/>
      <family val="2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EA194"/>
        <bgColor rgb="FF000000"/>
      </patternFill>
    </fill>
    <fill>
      <patternFill patternType="solid">
        <fgColor rgb="FFED699B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7C80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80"/>
      </left>
      <right style="thin">
        <color rgb="FF000080"/>
      </right>
      <top style="thin">
        <color rgb="FF000080"/>
      </top>
      <bottom/>
      <diagonal/>
    </border>
    <border>
      <left style="thin">
        <color theme="4" tint="0.399975585192419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" fontId="2" fillId="2" borderId="1" applyNumberFormat="0" applyProtection="0">
      <alignment horizontal="left" vertical="center" indent="1"/>
    </xf>
    <xf numFmtId="4" fontId="4" fillId="3" borderId="2" applyNumberFormat="0" applyProtection="0">
      <alignment horizontal="left" vertical="center" indent="1"/>
    </xf>
    <xf numFmtId="4" fontId="4" fillId="3" borderId="2" applyNumberFormat="0" applyProtection="0">
      <alignment horizontal="left" vertical="center" indent="1"/>
    </xf>
  </cellStyleXfs>
  <cellXfs count="46">
    <xf numFmtId="0" fontId="0" fillId="0" borderId="0" xfId="0"/>
    <xf numFmtId="0" fontId="5" fillId="5" borderId="3" xfId="4" quotePrefix="1" applyNumberFormat="1" applyFont="1" applyFill="1" applyBorder="1" applyProtection="1">
      <alignment horizontal="left" vertical="center" indent="1"/>
    </xf>
    <xf numFmtId="0" fontId="7" fillId="0" borderId="0" xfId="0" applyFont="1"/>
    <xf numFmtId="0" fontId="5" fillId="9" borderId="5" xfId="4" quotePrefix="1" applyNumberFormat="1" applyFont="1" applyFill="1" applyBorder="1" applyProtection="1">
      <alignment horizontal="left" vertical="center" indent="1"/>
    </xf>
    <xf numFmtId="0" fontId="9" fillId="10" borderId="4" xfId="3" quotePrefix="1" applyNumberFormat="1" applyFont="1" applyFill="1" applyBorder="1" applyProtection="1">
      <alignment horizontal="left" vertical="center" indent="1"/>
    </xf>
    <xf numFmtId="0" fontId="9" fillId="11" borderId="4" xfId="3" quotePrefix="1" applyNumberFormat="1" applyFont="1" applyFill="1" applyBorder="1" applyProtection="1">
      <alignment horizontal="left" vertical="center" indent="1"/>
    </xf>
    <xf numFmtId="0" fontId="9" fillId="12" borderId="4" xfId="3" quotePrefix="1" applyNumberFormat="1" applyFont="1" applyFill="1" applyBorder="1" applyProtection="1">
      <alignment horizontal="left" vertical="center" indent="1"/>
    </xf>
    <xf numFmtId="0" fontId="9" fillId="0" borderId="4" xfId="3" quotePrefix="1" applyNumberFormat="1" applyFont="1" applyFill="1" applyBorder="1" applyProtection="1">
      <alignment horizontal="left" vertical="center" indent="1"/>
    </xf>
    <xf numFmtId="0" fontId="9" fillId="13" borderId="4" xfId="3" quotePrefix="1" applyNumberFormat="1" applyFont="1" applyFill="1" applyBorder="1" applyProtection="1">
      <alignment horizontal="left" vertical="center" indent="1"/>
    </xf>
    <xf numFmtId="0" fontId="9" fillId="14" borderId="4" xfId="3" quotePrefix="1" applyNumberFormat="1" applyFont="1" applyFill="1" applyBorder="1" applyProtection="1">
      <alignment horizontal="left" vertical="center" indent="1"/>
    </xf>
    <xf numFmtId="0" fontId="9" fillId="15" borderId="4" xfId="3" quotePrefix="1" applyNumberFormat="1" applyFont="1" applyFill="1" applyBorder="1" applyProtection="1">
      <alignment horizontal="left" vertical="center" indent="1"/>
    </xf>
    <xf numFmtId="0" fontId="9" fillId="8" borderId="4" xfId="3" quotePrefix="1" applyNumberFormat="1" applyFont="1" applyFill="1" applyBorder="1" applyProtection="1">
      <alignment horizontal="left" vertical="center" indent="1"/>
    </xf>
    <xf numFmtId="0" fontId="9" fillId="16" borderId="4" xfId="3" quotePrefix="1" applyNumberFormat="1" applyFont="1" applyFill="1" applyBorder="1" applyProtection="1">
      <alignment horizontal="left" vertical="center" indent="1"/>
    </xf>
    <xf numFmtId="0" fontId="9" fillId="17" borderId="4" xfId="3" quotePrefix="1" applyNumberFormat="1" applyFont="1" applyFill="1" applyBorder="1" applyProtection="1">
      <alignment horizontal="left" vertical="center" indent="1"/>
    </xf>
    <xf numFmtId="0" fontId="9" fillId="18" borderId="4" xfId="3" quotePrefix="1" applyNumberFormat="1" applyFont="1" applyFill="1" applyBorder="1" applyProtection="1">
      <alignment horizontal="left" vertical="center" indent="1"/>
    </xf>
    <xf numFmtId="0" fontId="9" fillId="19" borderId="4" xfId="3" quotePrefix="1" applyNumberFormat="1" applyFont="1" applyFill="1" applyBorder="1" applyProtection="1">
      <alignment horizontal="left" vertical="center" indent="1"/>
    </xf>
    <xf numFmtId="0" fontId="9" fillId="20" borderId="4" xfId="3" quotePrefix="1" applyNumberFormat="1" applyFont="1" applyFill="1" applyBorder="1" applyProtection="1">
      <alignment horizontal="left" vertical="center" indent="1"/>
    </xf>
    <xf numFmtId="0" fontId="9" fillId="21" borderId="4" xfId="3" quotePrefix="1" applyNumberFormat="1" applyFont="1" applyFill="1" applyBorder="1" applyProtection="1">
      <alignment horizontal="left" vertical="center" indent="1"/>
    </xf>
    <xf numFmtId="0" fontId="9" fillId="22" borderId="4" xfId="3" quotePrefix="1" applyNumberFormat="1" applyFont="1" applyFill="1" applyBorder="1" applyProtection="1">
      <alignment horizontal="left" vertical="center" indent="1"/>
    </xf>
    <xf numFmtId="0" fontId="9" fillId="23" borderId="4" xfId="3" quotePrefix="1" applyNumberFormat="1" applyFont="1" applyFill="1" applyBorder="1" applyProtection="1">
      <alignment horizontal="left" vertical="center" indent="1"/>
    </xf>
    <xf numFmtId="0" fontId="6" fillId="24" borderId="6" xfId="3" quotePrefix="1" applyNumberFormat="1" applyFont="1" applyFill="1" applyBorder="1">
      <alignment horizontal="left" vertical="center" indent="1"/>
    </xf>
    <xf numFmtId="0" fontId="3" fillId="0" borderId="6" xfId="3" applyNumberFormat="1" applyFont="1" applyFill="1" applyBorder="1">
      <alignment horizontal="left" vertical="center" indent="1"/>
    </xf>
    <xf numFmtId="0" fontId="6" fillId="0" borderId="6" xfId="3" quotePrefix="1" applyNumberFormat="1" applyFont="1" applyFill="1" applyBorder="1">
      <alignment horizontal="left" vertical="center" indent="1"/>
    </xf>
    <xf numFmtId="0" fontId="3" fillId="6" borderId="6" xfId="3" applyNumberFormat="1" applyFont="1" applyFill="1" applyBorder="1">
      <alignment horizontal="left" vertical="center" indent="1"/>
    </xf>
    <xf numFmtId="0" fontId="6" fillId="25" borderId="6" xfId="3" quotePrefix="1" applyNumberFormat="1" applyFont="1" applyFill="1" applyBorder="1">
      <alignment horizontal="left" vertical="center" indent="1"/>
    </xf>
    <xf numFmtId="0" fontId="3" fillId="26" borderId="6" xfId="3" applyNumberFormat="1" applyFont="1" applyFill="1" applyBorder="1">
      <alignment horizontal="left" vertical="center" indent="1"/>
    </xf>
    <xf numFmtId="0" fontId="6" fillId="7" borderId="6" xfId="3" quotePrefix="1" applyNumberFormat="1" applyFont="1" applyFill="1" applyBorder="1">
      <alignment horizontal="left" vertical="center" indent="1"/>
    </xf>
    <xf numFmtId="0" fontId="3" fillId="4" borderId="6" xfId="3" applyNumberFormat="1" applyFont="1" applyFill="1" applyBorder="1">
      <alignment horizontal="left" vertical="center" indent="1"/>
    </xf>
    <xf numFmtId="0" fontId="3" fillId="0" borderId="6" xfId="3" applyNumberFormat="1" applyFont="1" applyFill="1" applyBorder="1" applyAlignment="1">
      <alignment horizontal="left" vertical="center" wrapText="1" indent="1"/>
    </xf>
    <xf numFmtId="0" fontId="6" fillId="0" borderId="6" xfId="3" quotePrefix="1" applyNumberFormat="1" applyFont="1" applyFill="1" applyBorder="1" applyAlignment="1">
      <alignment horizontal="left" vertical="center" wrapText="1" indent="1"/>
    </xf>
    <xf numFmtId="0" fontId="6" fillId="27" borderId="6" xfId="3" quotePrefix="1" applyNumberFormat="1" applyFont="1" applyFill="1" applyBorder="1">
      <alignment horizontal="left" vertical="center" indent="1"/>
    </xf>
    <xf numFmtId="0" fontId="3" fillId="27" borderId="6" xfId="3" applyNumberFormat="1" applyFont="1" applyFill="1" applyBorder="1">
      <alignment horizontal="left" vertical="center" indent="1"/>
    </xf>
    <xf numFmtId="164" fontId="0" fillId="0" borderId="0" xfId="0" applyNumberFormat="1"/>
    <xf numFmtId="0" fontId="3" fillId="0" borderId="4" xfId="1" quotePrefix="1" applyNumberFormat="1" applyFont="1" applyFill="1" applyBorder="1" applyAlignment="1" applyProtection="1">
      <alignment horizontal="center" vertical="center"/>
    </xf>
    <xf numFmtId="0" fontId="6" fillId="0" borderId="4" xfId="1" quotePrefix="1" applyNumberFormat="1" applyFont="1" applyFill="1" applyBorder="1" applyAlignment="1" applyProtection="1">
      <alignment horizontal="center" vertical="center"/>
    </xf>
    <xf numFmtId="0" fontId="3" fillId="0" borderId="4" xfId="1" applyNumberFormat="1" applyFont="1" applyBorder="1" applyAlignment="1">
      <alignment horizontal="center" vertical="center"/>
    </xf>
    <xf numFmtId="0" fontId="6" fillId="0" borderId="7" xfId="1" quotePrefix="1" applyNumberFormat="1" applyFont="1" applyFill="1" applyBorder="1" applyAlignment="1" applyProtection="1">
      <alignment horizontal="center" vertical="center"/>
    </xf>
    <xf numFmtId="0" fontId="6" fillId="0" borderId="4" xfId="1" quotePrefix="1" applyNumberFormat="1" applyFont="1" applyFill="1" applyBorder="1" applyAlignment="1" applyProtection="1">
      <alignment horizontal="center"/>
    </xf>
    <xf numFmtId="0" fontId="6" fillId="27" borderId="4" xfId="1" quotePrefix="1" applyNumberFormat="1" applyFont="1" applyFill="1" applyBorder="1" applyAlignment="1" applyProtection="1">
      <alignment horizontal="center" vertical="center"/>
    </xf>
    <xf numFmtId="0" fontId="3" fillId="26" borderId="4" xfId="1" quotePrefix="1" applyNumberFormat="1" applyFont="1" applyFill="1" applyBorder="1" applyAlignment="1" applyProtection="1">
      <alignment horizontal="center" vertical="center"/>
    </xf>
    <xf numFmtId="0" fontId="0" fillId="0" borderId="4" xfId="0" applyBorder="1"/>
    <xf numFmtId="165" fontId="0" fillId="0" borderId="0" xfId="0" applyNumberFormat="1"/>
    <xf numFmtId="0" fontId="7" fillId="0" borderId="0" xfId="0" applyFont="1" applyAlignment="1">
      <alignment horizontal="center" vertical="center"/>
    </xf>
    <xf numFmtId="4" fontId="8" fillId="0" borderId="4" xfId="3" quotePrefix="1" applyNumberFormat="1" applyFont="1" applyFill="1" applyBorder="1" applyAlignment="1" applyProtection="1">
      <alignment horizontal="center" vertical="center"/>
    </xf>
    <xf numFmtId="4" fontId="9" fillId="0" borderId="4" xfId="3" quotePrefix="1" applyNumberFormat="1" applyFont="1" applyFill="1" applyBorder="1" applyAlignment="1" applyProtection="1">
      <alignment horizontal="center" vertical="center"/>
    </xf>
    <xf numFmtId="0" fontId="14" fillId="0" borderId="0" xfId="0" applyFont="1"/>
  </cellXfs>
  <cellStyles count="5">
    <cellStyle name="SAPBEXchaText" xfId="4" xr:uid="{DB4EF0FC-4780-4920-ACAA-C018D60910D8}"/>
    <cellStyle name="SAPBEXfilterItem" xfId="2" xr:uid="{BF01C6EE-7820-4490-824E-CD189074A9BF}"/>
    <cellStyle name="SAPBEXstdItem" xfId="3" xr:uid="{13D46D21-463A-4F00-8F43-216DEC8356C2}"/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8"/>
  <sheetViews>
    <sheetView tabSelected="1" workbookViewId="0">
      <selection activeCell="D2" sqref="D2"/>
    </sheetView>
  </sheetViews>
  <sheetFormatPr defaultRowHeight="14.4" x14ac:dyDescent="0.3"/>
  <cols>
    <col min="1" max="1" width="12.5546875" style="2" customWidth="1"/>
    <col min="2" max="2" width="36.88671875" bestFit="1" customWidth="1"/>
    <col min="3" max="3" width="11.109375" bestFit="1" customWidth="1"/>
    <col min="4" max="4" width="11.109375" style="42" bestFit="1" customWidth="1"/>
  </cols>
  <sheetData>
    <row r="1" spans="1:4" x14ac:dyDescent="0.3">
      <c r="A1" s="3" t="s">
        <v>0</v>
      </c>
      <c r="B1" s="1" t="s">
        <v>18</v>
      </c>
      <c r="C1" s="45" t="s">
        <v>557</v>
      </c>
      <c r="D1" s="45" t="s">
        <v>558</v>
      </c>
    </row>
    <row r="2" spans="1:4" x14ac:dyDescent="0.3">
      <c r="A2" s="4">
        <v>2021100100</v>
      </c>
      <c r="B2" s="20" t="s">
        <v>19</v>
      </c>
      <c r="C2" s="33">
        <v>12963</v>
      </c>
      <c r="D2" s="43">
        <v>112998.187191</v>
      </c>
    </row>
    <row r="3" spans="1:4" x14ac:dyDescent="0.3">
      <c r="A3" s="5">
        <v>2021100200</v>
      </c>
      <c r="B3" s="21" t="s">
        <v>20</v>
      </c>
      <c r="C3" s="34">
        <v>23504</v>
      </c>
      <c r="D3" s="43">
        <v>209904.75108800002</v>
      </c>
    </row>
    <row r="4" spans="1:4" x14ac:dyDescent="0.3">
      <c r="A4" s="6">
        <v>2021100300</v>
      </c>
      <c r="B4" s="20" t="s">
        <v>21</v>
      </c>
      <c r="C4" s="34">
        <v>21895</v>
      </c>
      <c r="D4" s="43">
        <v>193801.17398599998</v>
      </c>
    </row>
    <row r="5" spans="1:4" x14ac:dyDescent="0.3">
      <c r="A5" s="7">
        <v>2021100500</v>
      </c>
      <c r="B5" s="21" t="s">
        <v>22</v>
      </c>
      <c r="C5" s="34">
        <v>33085</v>
      </c>
      <c r="D5" s="43">
        <v>287456.589224</v>
      </c>
    </row>
    <row r="6" spans="1:4" x14ac:dyDescent="0.3">
      <c r="A6" s="7">
        <v>2021100600</v>
      </c>
      <c r="B6" s="21" t="s">
        <v>23</v>
      </c>
      <c r="C6" s="34">
        <v>990</v>
      </c>
      <c r="D6" s="44">
        <v>8578.0529999999999</v>
      </c>
    </row>
    <row r="7" spans="1:4" x14ac:dyDescent="0.3">
      <c r="A7" s="7">
        <v>2021100700</v>
      </c>
      <c r="B7" s="21" t="s">
        <v>24</v>
      </c>
      <c r="C7" s="34">
        <v>24359</v>
      </c>
      <c r="D7" s="43">
        <v>212155.97560900002</v>
      </c>
    </row>
    <row r="8" spans="1:4" x14ac:dyDescent="0.3">
      <c r="A8" s="5">
        <v>2021100800</v>
      </c>
      <c r="B8" s="21" t="s">
        <v>25</v>
      </c>
      <c r="C8" s="34">
        <v>19077</v>
      </c>
      <c r="D8" s="43">
        <v>170970.37026900001</v>
      </c>
    </row>
    <row r="9" spans="1:4" x14ac:dyDescent="0.3">
      <c r="A9" s="5">
        <v>2021101000</v>
      </c>
      <c r="B9" s="20" t="s">
        <v>26</v>
      </c>
      <c r="C9" s="34">
        <v>21273</v>
      </c>
      <c r="D9" s="43">
        <v>187117.48136999999</v>
      </c>
    </row>
    <row r="10" spans="1:4" x14ac:dyDescent="0.3">
      <c r="A10" s="6">
        <v>2021101100</v>
      </c>
      <c r="B10" s="21" t="s">
        <v>27</v>
      </c>
      <c r="C10" s="34">
        <v>13291</v>
      </c>
      <c r="D10" s="43">
        <v>117491.94892800001</v>
      </c>
    </row>
    <row r="11" spans="1:4" x14ac:dyDescent="0.3">
      <c r="A11" s="5">
        <v>2021101300</v>
      </c>
      <c r="B11" s="21" t="s">
        <v>28</v>
      </c>
      <c r="C11" s="34">
        <v>13720</v>
      </c>
      <c r="D11" s="43">
        <v>117622.353775</v>
      </c>
    </row>
    <row r="12" spans="1:4" x14ac:dyDescent="0.3">
      <c r="A12" s="7">
        <v>2021101400</v>
      </c>
      <c r="B12" s="22" t="s">
        <v>29</v>
      </c>
      <c r="C12" s="34">
        <v>14339</v>
      </c>
      <c r="D12" s="43">
        <v>125778.75314</v>
      </c>
    </row>
    <row r="13" spans="1:4" x14ac:dyDescent="0.3">
      <c r="A13" s="5">
        <v>2021101500</v>
      </c>
      <c r="B13" s="21" t="s">
        <v>30</v>
      </c>
      <c r="C13" s="34">
        <v>32576</v>
      </c>
      <c r="D13" s="43">
        <v>281368.53517999995</v>
      </c>
    </row>
    <row r="14" spans="1:4" x14ac:dyDescent="0.3">
      <c r="A14" s="7">
        <v>2021101600</v>
      </c>
      <c r="B14" s="22" t="s">
        <v>31</v>
      </c>
      <c r="C14" s="34">
        <v>27882</v>
      </c>
      <c r="D14" s="43">
        <v>243882.80726999999</v>
      </c>
    </row>
    <row r="15" spans="1:4" x14ac:dyDescent="0.3">
      <c r="A15" s="7">
        <v>2021101900</v>
      </c>
      <c r="B15" s="21" t="s">
        <v>32</v>
      </c>
      <c r="C15" s="34">
        <v>27674</v>
      </c>
      <c r="D15" s="44">
        <v>249982.98472000001</v>
      </c>
    </row>
    <row r="16" spans="1:4" x14ac:dyDescent="0.3">
      <c r="A16" s="5">
        <v>2021102000</v>
      </c>
      <c r="B16" s="20" t="s">
        <v>33</v>
      </c>
      <c r="C16" s="34">
        <v>22612</v>
      </c>
      <c r="D16" s="43">
        <v>196379.67796</v>
      </c>
    </row>
    <row r="17" spans="1:4" x14ac:dyDescent="0.3">
      <c r="A17" s="7">
        <v>2021102400</v>
      </c>
      <c r="B17" s="20" t="s">
        <v>34</v>
      </c>
      <c r="C17" s="34">
        <v>19024</v>
      </c>
      <c r="D17" s="43">
        <v>168160.14003399998</v>
      </c>
    </row>
    <row r="18" spans="1:4" x14ac:dyDescent="0.3">
      <c r="A18" s="7">
        <v>2021102500</v>
      </c>
      <c r="B18" s="21" t="s">
        <v>35</v>
      </c>
      <c r="C18" s="34">
        <v>25778</v>
      </c>
      <c r="D18" s="43">
        <v>224406.54512</v>
      </c>
    </row>
    <row r="19" spans="1:4" x14ac:dyDescent="0.3">
      <c r="A19" s="5">
        <v>2021102600</v>
      </c>
      <c r="B19" s="20" t="s">
        <v>36</v>
      </c>
      <c r="C19" s="34">
        <v>14623</v>
      </c>
      <c r="D19" s="43">
        <v>126628.84161699998</v>
      </c>
    </row>
    <row r="20" spans="1:4" x14ac:dyDescent="0.3">
      <c r="A20" s="7">
        <v>2021102900</v>
      </c>
      <c r="B20" s="21" t="s">
        <v>37</v>
      </c>
      <c r="C20" s="34">
        <v>23935</v>
      </c>
      <c r="D20" s="43">
        <v>210752.7622</v>
      </c>
    </row>
    <row r="21" spans="1:4" x14ac:dyDescent="0.3">
      <c r="A21" s="7">
        <v>2021103000</v>
      </c>
      <c r="B21" s="21" t="s">
        <v>38</v>
      </c>
      <c r="C21" s="34">
        <v>24239</v>
      </c>
      <c r="D21" s="43">
        <v>212611.87118099999</v>
      </c>
    </row>
    <row r="22" spans="1:4" x14ac:dyDescent="0.3">
      <c r="A22" s="7">
        <v>2021103800</v>
      </c>
      <c r="B22" s="20" t="s">
        <v>39</v>
      </c>
      <c r="C22" s="34">
        <v>22920</v>
      </c>
      <c r="D22" s="44">
        <v>207434.14835999999</v>
      </c>
    </row>
    <row r="23" spans="1:4" x14ac:dyDescent="0.3">
      <c r="A23" s="5">
        <v>2021103300</v>
      </c>
      <c r="B23" s="21" t="s">
        <v>40</v>
      </c>
      <c r="C23" s="34">
        <v>21683</v>
      </c>
      <c r="D23" s="43">
        <v>186873.50804999997</v>
      </c>
    </row>
    <row r="24" spans="1:4" x14ac:dyDescent="0.3">
      <c r="A24" s="7">
        <v>2021104300</v>
      </c>
      <c r="B24" s="20" t="s">
        <v>41</v>
      </c>
      <c r="C24" s="34">
        <v>10015</v>
      </c>
      <c r="D24" s="44">
        <v>86966.904974999998</v>
      </c>
    </row>
    <row r="25" spans="1:4" x14ac:dyDescent="0.3">
      <c r="A25" s="5">
        <v>2021104400</v>
      </c>
      <c r="B25" s="21" t="s">
        <v>42</v>
      </c>
      <c r="C25" s="34">
        <v>18391</v>
      </c>
      <c r="D25" s="43">
        <v>163733.88130000001</v>
      </c>
    </row>
    <row r="26" spans="1:4" x14ac:dyDescent="0.3">
      <c r="A26" s="8">
        <v>2021104800</v>
      </c>
      <c r="B26" s="21" t="s">
        <v>43</v>
      </c>
      <c r="C26" s="33">
        <v>37975</v>
      </c>
      <c r="D26" s="43">
        <v>308882.85763800004</v>
      </c>
    </row>
    <row r="27" spans="1:4" x14ac:dyDescent="0.3">
      <c r="A27" s="7">
        <v>2021105300</v>
      </c>
      <c r="B27" s="21" t="s">
        <v>44</v>
      </c>
      <c r="C27" s="34">
        <v>717</v>
      </c>
      <c r="D27" s="44">
        <v>6226.1878050000005</v>
      </c>
    </row>
    <row r="28" spans="1:4" x14ac:dyDescent="0.3">
      <c r="A28" s="5">
        <v>2021105400</v>
      </c>
      <c r="B28" s="20" t="s">
        <v>45</v>
      </c>
      <c r="C28" s="34">
        <v>15754</v>
      </c>
      <c r="D28" s="43">
        <v>136804.82232499999</v>
      </c>
    </row>
    <row r="29" spans="1:4" x14ac:dyDescent="0.3">
      <c r="A29" s="9">
        <v>2021106100</v>
      </c>
      <c r="B29" s="21" t="s">
        <v>46</v>
      </c>
      <c r="C29" s="34">
        <v>9685</v>
      </c>
      <c r="D29" s="44">
        <v>98668.328657999999</v>
      </c>
    </row>
    <row r="30" spans="1:4" x14ac:dyDescent="0.3">
      <c r="A30" s="5">
        <v>2021105500</v>
      </c>
      <c r="B30" s="22" t="s">
        <v>47</v>
      </c>
      <c r="C30" s="34">
        <v>20460</v>
      </c>
      <c r="D30" s="44">
        <v>170776.48962000001</v>
      </c>
    </row>
    <row r="31" spans="1:4" x14ac:dyDescent="0.3">
      <c r="A31" s="6">
        <v>2021195500</v>
      </c>
      <c r="B31" s="21" t="s">
        <v>48</v>
      </c>
      <c r="C31" s="34">
        <v>31646</v>
      </c>
      <c r="D31" s="44">
        <v>328292.180957</v>
      </c>
    </row>
    <row r="32" spans="1:4" x14ac:dyDescent="0.3">
      <c r="A32" s="7">
        <v>2021106600</v>
      </c>
      <c r="B32" s="20" t="s">
        <v>49</v>
      </c>
      <c r="C32" s="34">
        <v>22413</v>
      </c>
      <c r="D32" s="44">
        <v>265626.47291999997</v>
      </c>
    </row>
    <row r="33" spans="1:4" x14ac:dyDescent="0.3">
      <c r="A33" s="4">
        <v>2021105600</v>
      </c>
      <c r="B33" s="20" t="s">
        <v>50</v>
      </c>
      <c r="C33" s="34">
        <v>14353</v>
      </c>
      <c r="D33" s="43">
        <v>126039.8933156</v>
      </c>
    </row>
    <row r="34" spans="1:4" x14ac:dyDescent="0.3">
      <c r="A34" s="7">
        <v>2021105800</v>
      </c>
      <c r="B34" s="20" t="s">
        <v>51</v>
      </c>
      <c r="C34" s="35">
        <v>97</v>
      </c>
      <c r="D34" s="44">
        <v>842.31550500000003</v>
      </c>
    </row>
    <row r="35" spans="1:4" x14ac:dyDescent="0.3">
      <c r="A35" s="7">
        <v>2021149500</v>
      </c>
      <c r="B35" s="20" t="s">
        <v>52</v>
      </c>
      <c r="C35" s="34">
        <f>17230+12297</f>
        <v>29527</v>
      </c>
      <c r="D35" s="44">
        <v>375343.82503599999</v>
      </c>
    </row>
    <row r="36" spans="1:4" x14ac:dyDescent="0.3">
      <c r="A36" s="10">
        <v>2021113000</v>
      </c>
      <c r="B36" s="20" t="s">
        <v>53</v>
      </c>
      <c r="C36" s="34">
        <v>29665</v>
      </c>
      <c r="D36" s="44">
        <v>327711.02509800001</v>
      </c>
    </row>
    <row r="37" spans="1:4" x14ac:dyDescent="0.3">
      <c r="A37" s="7">
        <v>2021106200</v>
      </c>
      <c r="B37" s="20" t="s">
        <v>54</v>
      </c>
      <c r="C37" s="34">
        <v>22290</v>
      </c>
      <c r="D37" s="43">
        <v>196541.39126800001</v>
      </c>
    </row>
    <row r="38" spans="1:4" x14ac:dyDescent="0.3">
      <c r="A38" s="10">
        <v>2021200600</v>
      </c>
      <c r="B38" s="20" t="s">
        <v>55</v>
      </c>
      <c r="C38" s="34">
        <v>18448</v>
      </c>
      <c r="D38" s="44">
        <v>194329.61022700003</v>
      </c>
    </row>
    <row r="39" spans="1:4" x14ac:dyDescent="0.3">
      <c r="A39" s="6">
        <v>2021113700</v>
      </c>
      <c r="B39" s="21" t="s">
        <v>56</v>
      </c>
      <c r="C39" s="34">
        <v>24024</v>
      </c>
      <c r="D39" s="44">
        <v>238302.39206740001</v>
      </c>
    </row>
    <row r="40" spans="1:4" x14ac:dyDescent="0.3">
      <c r="A40" s="5">
        <v>2021106300</v>
      </c>
      <c r="B40" s="21" t="s">
        <v>57</v>
      </c>
      <c r="C40" s="34">
        <v>37585</v>
      </c>
      <c r="D40" s="43">
        <v>324320.13983800006</v>
      </c>
    </row>
    <row r="41" spans="1:4" x14ac:dyDescent="0.3">
      <c r="A41" s="7">
        <v>2021114400</v>
      </c>
      <c r="B41" s="21" t="s">
        <v>58</v>
      </c>
      <c r="C41" s="34">
        <v>17154</v>
      </c>
      <c r="D41" s="44">
        <v>189546.45</v>
      </c>
    </row>
    <row r="42" spans="1:4" x14ac:dyDescent="0.3">
      <c r="A42" s="5">
        <v>2021106400</v>
      </c>
      <c r="B42" s="21" t="s">
        <v>59</v>
      </c>
      <c r="C42" s="34">
        <v>26090</v>
      </c>
      <c r="D42" s="43">
        <v>225465.162354</v>
      </c>
    </row>
    <row r="43" spans="1:4" x14ac:dyDescent="0.3">
      <c r="A43" s="5">
        <v>2021106500</v>
      </c>
      <c r="B43" s="20" t="s">
        <v>60</v>
      </c>
      <c r="C43" s="34">
        <v>35445</v>
      </c>
      <c r="D43" s="43">
        <v>310713.12688499998</v>
      </c>
    </row>
    <row r="44" spans="1:4" x14ac:dyDescent="0.3">
      <c r="A44" s="5">
        <v>2021106801</v>
      </c>
      <c r="B44" s="20" t="s">
        <v>61</v>
      </c>
      <c r="C44" s="34">
        <v>9447</v>
      </c>
      <c r="D44" s="43">
        <v>84928.036529999998</v>
      </c>
    </row>
    <row r="45" spans="1:4" x14ac:dyDescent="0.3">
      <c r="A45" s="5">
        <v>2021107100</v>
      </c>
      <c r="B45" s="21" t="s">
        <v>62</v>
      </c>
      <c r="C45" s="34">
        <v>18531</v>
      </c>
      <c r="D45" s="43">
        <v>166411.998337</v>
      </c>
    </row>
    <row r="46" spans="1:4" x14ac:dyDescent="0.3">
      <c r="A46" s="7">
        <v>2021107300</v>
      </c>
      <c r="B46" s="20" t="s">
        <v>63</v>
      </c>
      <c r="C46" s="34">
        <v>13068</v>
      </c>
      <c r="D46" s="43">
        <v>116695.353978</v>
      </c>
    </row>
    <row r="47" spans="1:4" x14ac:dyDescent="0.3">
      <c r="A47" s="11">
        <v>2021115200</v>
      </c>
      <c r="B47" s="20" t="s">
        <v>64</v>
      </c>
      <c r="C47" s="34">
        <v>28538</v>
      </c>
      <c r="D47" s="43">
        <v>279971.35230799997</v>
      </c>
    </row>
    <row r="48" spans="1:4" x14ac:dyDescent="0.3">
      <c r="A48" s="6">
        <v>2021132700</v>
      </c>
      <c r="B48" s="21" t="s">
        <v>65</v>
      </c>
      <c r="C48" s="34">
        <v>26980</v>
      </c>
      <c r="D48" s="44">
        <v>282074.68589999998</v>
      </c>
    </row>
    <row r="49" spans="1:4" x14ac:dyDescent="0.3">
      <c r="A49" s="12">
        <v>2021115600</v>
      </c>
      <c r="B49" s="20" t="s">
        <v>66</v>
      </c>
      <c r="C49" s="34">
        <v>11779</v>
      </c>
      <c r="D49" s="44">
        <v>115652.405975</v>
      </c>
    </row>
    <row r="50" spans="1:4" x14ac:dyDescent="0.3">
      <c r="A50" s="6">
        <v>2021107400</v>
      </c>
      <c r="B50" s="21" t="s">
        <v>67</v>
      </c>
      <c r="C50" s="34">
        <v>19919</v>
      </c>
      <c r="D50" s="43">
        <v>173028.88584800001</v>
      </c>
    </row>
    <row r="51" spans="1:4" x14ac:dyDescent="0.3">
      <c r="A51" s="11">
        <v>2021115800</v>
      </c>
      <c r="B51" s="20" t="s">
        <v>68</v>
      </c>
      <c r="C51" s="34">
        <v>23845</v>
      </c>
      <c r="D51" s="44">
        <v>236088.67602019999</v>
      </c>
    </row>
    <row r="52" spans="1:4" x14ac:dyDescent="0.3">
      <c r="A52" s="6">
        <v>2021115900</v>
      </c>
      <c r="B52" s="21" t="s">
        <v>69</v>
      </c>
      <c r="C52" s="34">
        <v>23533</v>
      </c>
      <c r="D52" s="43">
        <v>228813.96914100001</v>
      </c>
    </row>
    <row r="53" spans="1:4" x14ac:dyDescent="0.3">
      <c r="A53" s="10">
        <v>2021200700</v>
      </c>
      <c r="B53" s="20" t="s">
        <v>70</v>
      </c>
      <c r="C53" s="34">
        <v>21199</v>
      </c>
      <c r="D53" s="44">
        <v>219186.524986</v>
      </c>
    </row>
    <row r="54" spans="1:4" x14ac:dyDescent="0.3">
      <c r="A54" s="6">
        <v>2021116100</v>
      </c>
      <c r="B54" s="21" t="s">
        <v>71</v>
      </c>
      <c r="C54" s="34">
        <v>32148</v>
      </c>
      <c r="D54" s="44">
        <v>312628.07279999997</v>
      </c>
    </row>
    <row r="55" spans="1:4" x14ac:dyDescent="0.3">
      <c r="A55" s="7">
        <v>2021300700</v>
      </c>
      <c r="B55" s="22" t="s">
        <v>72</v>
      </c>
      <c r="C55" s="34">
        <v>18876</v>
      </c>
      <c r="D55" s="44">
        <v>214216.442893</v>
      </c>
    </row>
    <row r="56" spans="1:4" x14ac:dyDescent="0.3">
      <c r="A56" s="7">
        <v>2021107600</v>
      </c>
      <c r="B56" s="22" t="s">
        <v>73</v>
      </c>
      <c r="C56" s="34">
        <v>11851</v>
      </c>
      <c r="D56" s="43">
        <v>103967.302285</v>
      </c>
    </row>
    <row r="57" spans="1:4" x14ac:dyDescent="0.3">
      <c r="A57" s="7">
        <v>2021107800</v>
      </c>
      <c r="B57" s="21" t="s">
        <v>74</v>
      </c>
      <c r="C57" s="34">
        <v>15899</v>
      </c>
      <c r="D57" s="43">
        <v>143160.67073099999</v>
      </c>
    </row>
    <row r="58" spans="1:4" x14ac:dyDescent="0.3">
      <c r="A58" s="5">
        <v>2021111000</v>
      </c>
      <c r="B58" s="20" t="s">
        <v>75</v>
      </c>
      <c r="C58" s="34">
        <v>57126</v>
      </c>
      <c r="D58" s="43">
        <v>502476.46658500005</v>
      </c>
    </row>
    <row r="59" spans="1:4" x14ac:dyDescent="0.3">
      <c r="A59" s="5">
        <v>2021111200</v>
      </c>
      <c r="B59" s="20" t="s">
        <v>76</v>
      </c>
      <c r="C59" s="34">
        <v>14820</v>
      </c>
      <c r="D59" s="43">
        <v>131079.44458700001</v>
      </c>
    </row>
    <row r="60" spans="1:4" x14ac:dyDescent="0.3">
      <c r="A60" s="9">
        <v>2021107900</v>
      </c>
      <c r="B60" s="21" t="s">
        <v>77</v>
      </c>
      <c r="C60" s="34">
        <v>23328</v>
      </c>
      <c r="D60" s="43">
        <v>230493.54035160001</v>
      </c>
    </row>
    <row r="61" spans="1:4" x14ac:dyDescent="0.3">
      <c r="A61" s="11">
        <v>2021124800</v>
      </c>
      <c r="B61" s="22" t="s">
        <v>78</v>
      </c>
      <c r="C61" s="34">
        <v>29389</v>
      </c>
      <c r="D61" s="44">
        <v>282716.41975599999</v>
      </c>
    </row>
    <row r="62" spans="1:4" x14ac:dyDescent="0.3">
      <c r="A62" s="6">
        <v>2021111300</v>
      </c>
      <c r="B62" s="21" t="s">
        <v>79</v>
      </c>
      <c r="C62" s="34">
        <v>27258</v>
      </c>
      <c r="D62" s="43">
        <v>234394.75407600001</v>
      </c>
    </row>
    <row r="63" spans="1:4" x14ac:dyDescent="0.3">
      <c r="A63" s="5">
        <v>2021111400</v>
      </c>
      <c r="B63" s="21" t="s">
        <v>80</v>
      </c>
      <c r="C63" s="34">
        <v>13627</v>
      </c>
      <c r="D63" s="44">
        <v>115368.36232</v>
      </c>
    </row>
    <row r="64" spans="1:4" x14ac:dyDescent="0.3">
      <c r="A64" s="7">
        <v>2021111500</v>
      </c>
      <c r="B64" s="21" t="s">
        <v>81</v>
      </c>
      <c r="C64" s="35">
        <v>4495</v>
      </c>
      <c r="D64" s="44">
        <v>38947.826499999996</v>
      </c>
    </row>
    <row r="65" spans="1:4" x14ac:dyDescent="0.3">
      <c r="A65" s="7">
        <v>2021300400</v>
      </c>
      <c r="B65" s="20" t="s">
        <v>82</v>
      </c>
      <c r="C65" s="34">
        <f>22671+849</f>
        <v>23520</v>
      </c>
      <c r="D65" s="44">
        <v>250459.04496</v>
      </c>
    </row>
    <row r="66" spans="1:4" x14ac:dyDescent="0.3">
      <c r="A66" s="5">
        <v>2021111700</v>
      </c>
      <c r="B66" s="21" t="s">
        <v>83</v>
      </c>
      <c r="C66" s="34">
        <v>15581</v>
      </c>
      <c r="D66" s="43">
        <v>136308.32246300002</v>
      </c>
    </row>
    <row r="67" spans="1:4" x14ac:dyDescent="0.3">
      <c r="A67" s="7">
        <v>2021111800</v>
      </c>
      <c r="B67" s="20" t="s">
        <v>84</v>
      </c>
      <c r="C67" s="34">
        <v>0</v>
      </c>
      <c r="D67" s="44">
        <v>0</v>
      </c>
    </row>
    <row r="68" spans="1:4" x14ac:dyDescent="0.3">
      <c r="A68" s="7">
        <v>2021111900</v>
      </c>
      <c r="B68" s="20" t="s">
        <v>85</v>
      </c>
      <c r="C68" s="34">
        <v>9291</v>
      </c>
      <c r="D68" s="43">
        <v>81585.155299999999</v>
      </c>
    </row>
    <row r="69" spans="1:4" x14ac:dyDescent="0.3">
      <c r="A69" s="6">
        <v>2021112000</v>
      </c>
      <c r="B69" s="20" t="s">
        <v>86</v>
      </c>
      <c r="C69" s="34">
        <v>23940</v>
      </c>
      <c r="D69" s="43">
        <v>207909.257904</v>
      </c>
    </row>
    <row r="70" spans="1:4" x14ac:dyDescent="0.3">
      <c r="A70" s="7">
        <v>2021300500</v>
      </c>
      <c r="B70" s="21" t="s">
        <v>87</v>
      </c>
      <c r="C70" s="34">
        <v>30446</v>
      </c>
      <c r="D70" s="44">
        <v>349766.43349199998</v>
      </c>
    </row>
    <row r="71" spans="1:4" x14ac:dyDescent="0.3">
      <c r="A71" s="5">
        <v>2021112100</v>
      </c>
      <c r="B71" s="20" t="s">
        <v>88</v>
      </c>
      <c r="C71" s="34">
        <v>28418</v>
      </c>
      <c r="D71" s="43">
        <v>244161.257832</v>
      </c>
    </row>
    <row r="72" spans="1:4" x14ac:dyDescent="0.3">
      <c r="A72" s="7">
        <v>2021113100</v>
      </c>
      <c r="B72" s="23" t="s">
        <v>89</v>
      </c>
      <c r="C72" s="34">
        <v>25190.799999999999</v>
      </c>
      <c r="D72" s="44">
        <v>346613.17003052798</v>
      </c>
    </row>
    <row r="73" spans="1:4" x14ac:dyDescent="0.3">
      <c r="A73" s="11">
        <v>2021130600</v>
      </c>
      <c r="B73" s="22" t="s">
        <v>90</v>
      </c>
      <c r="C73" s="34">
        <v>23559</v>
      </c>
      <c r="D73" s="44">
        <v>256921.74201600003</v>
      </c>
    </row>
    <row r="74" spans="1:4" x14ac:dyDescent="0.3">
      <c r="A74" s="7">
        <v>2021130600</v>
      </c>
      <c r="B74" s="22" t="s">
        <v>90</v>
      </c>
      <c r="C74" s="34">
        <v>8950</v>
      </c>
      <c r="D74" s="44">
        <v>86330.500700000004</v>
      </c>
    </row>
    <row r="75" spans="1:4" x14ac:dyDescent="0.3">
      <c r="A75" s="9">
        <v>2021112900</v>
      </c>
      <c r="B75" s="21" t="s">
        <v>91</v>
      </c>
      <c r="C75" s="34">
        <v>40222</v>
      </c>
      <c r="D75" s="44">
        <v>387862.909017</v>
      </c>
    </row>
    <row r="76" spans="1:4" x14ac:dyDescent="0.3">
      <c r="A76" s="4">
        <v>2021112300</v>
      </c>
      <c r="B76" s="21" t="s">
        <v>92</v>
      </c>
      <c r="C76" s="36">
        <v>5250</v>
      </c>
      <c r="D76" s="44">
        <v>42017.692499999997</v>
      </c>
    </row>
    <row r="77" spans="1:4" x14ac:dyDescent="0.3">
      <c r="A77" s="6">
        <v>2021113800</v>
      </c>
      <c r="B77" s="21" t="s">
        <v>93</v>
      </c>
      <c r="C77" s="34">
        <v>32588</v>
      </c>
      <c r="D77" s="44">
        <v>317074.268912</v>
      </c>
    </row>
    <row r="78" spans="1:4" x14ac:dyDescent="0.3">
      <c r="A78" s="5">
        <v>2021112400</v>
      </c>
      <c r="B78" s="21" t="s">
        <v>94</v>
      </c>
      <c r="C78" s="34">
        <v>25704</v>
      </c>
      <c r="D78" s="43">
        <v>221527.10317199997</v>
      </c>
    </row>
    <row r="79" spans="1:4" x14ac:dyDescent="0.3">
      <c r="A79" s="7">
        <v>2021114100</v>
      </c>
      <c r="B79" s="21" t="s">
        <v>95</v>
      </c>
      <c r="C79" s="34">
        <v>24696</v>
      </c>
      <c r="D79" s="44">
        <v>248315.59263799997</v>
      </c>
    </row>
    <row r="80" spans="1:4" x14ac:dyDescent="0.3">
      <c r="A80" s="5">
        <v>2021112600</v>
      </c>
      <c r="B80" s="21" t="s">
        <v>96</v>
      </c>
      <c r="C80" s="34">
        <v>13897</v>
      </c>
      <c r="D80" s="44">
        <v>120640.96876</v>
      </c>
    </row>
    <row r="81" spans="1:4" x14ac:dyDescent="0.3">
      <c r="A81" s="7">
        <v>2021114200</v>
      </c>
      <c r="B81" s="21" t="s">
        <v>97</v>
      </c>
      <c r="C81" s="34">
        <v>17426</v>
      </c>
      <c r="D81" s="44">
        <v>159257.60808000001</v>
      </c>
    </row>
    <row r="82" spans="1:4" x14ac:dyDescent="0.3">
      <c r="A82" s="7">
        <v>2021300600</v>
      </c>
      <c r="B82" s="20" t="s">
        <v>98</v>
      </c>
      <c r="C82" s="34">
        <v>17641</v>
      </c>
      <c r="D82" s="44">
        <v>194721.35800000001</v>
      </c>
    </row>
    <row r="83" spans="1:4" x14ac:dyDescent="0.3">
      <c r="A83" s="6">
        <v>2021116000</v>
      </c>
      <c r="B83" s="21" t="s">
        <v>99</v>
      </c>
      <c r="C83" s="34">
        <v>18450</v>
      </c>
      <c r="D83" s="43">
        <v>180988.30084199997</v>
      </c>
    </row>
    <row r="84" spans="1:4" x14ac:dyDescent="0.3">
      <c r="A84" s="10">
        <v>2021200800</v>
      </c>
      <c r="B84" s="22" t="s">
        <v>100</v>
      </c>
      <c r="C84" s="34">
        <v>17293</v>
      </c>
      <c r="D84" s="44">
        <v>183595.57733400003</v>
      </c>
    </row>
    <row r="85" spans="1:4" x14ac:dyDescent="0.3">
      <c r="A85" s="7">
        <v>2021117000</v>
      </c>
      <c r="B85" s="21" t="s">
        <v>101</v>
      </c>
      <c r="C85" s="34">
        <v>18557</v>
      </c>
      <c r="D85" s="44">
        <v>203398.28656050001</v>
      </c>
    </row>
    <row r="86" spans="1:4" x14ac:dyDescent="0.3">
      <c r="A86" s="7">
        <v>2021116800</v>
      </c>
      <c r="B86" s="22" t="s">
        <v>102</v>
      </c>
      <c r="C86" s="34">
        <v>20330</v>
      </c>
      <c r="D86" s="44">
        <v>230088.19248600001</v>
      </c>
    </row>
    <row r="87" spans="1:4" x14ac:dyDescent="0.3">
      <c r="A87" s="10">
        <v>2021200900</v>
      </c>
      <c r="B87" s="21" t="s">
        <v>103</v>
      </c>
      <c r="C87" s="34">
        <v>26187</v>
      </c>
      <c r="D87" s="44">
        <v>278925.85700980003</v>
      </c>
    </row>
    <row r="88" spans="1:4" x14ac:dyDescent="0.3">
      <c r="A88" s="5">
        <v>2021113300</v>
      </c>
      <c r="B88" s="21" t="s">
        <v>104</v>
      </c>
      <c r="C88" s="34">
        <v>23585</v>
      </c>
      <c r="D88" s="43">
        <v>208317.27510200001</v>
      </c>
    </row>
    <row r="89" spans="1:4" x14ac:dyDescent="0.3">
      <c r="A89" s="10">
        <v>2021201000</v>
      </c>
      <c r="B89" s="21" t="s">
        <v>105</v>
      </c>
      <c r="C89" s="34">
        <v>22439</v>
      </c>
      <c r="D89" s="44">
        <v>238673.8415984</v>
      </c>
    </row>
    <row r="90" spans="1:4" x14ac:dyDescent="0.3">
      <c r="A90" s="7">
        <v>2021113400</v>
      </c>
      <c r="B90" s="20" t="s">
        <v>106</v>
      </c>
      <c r="C90" s="36">
        <v>15940</v>
      </c>
      <c r="D90" s="44">
        <v>138417.6201</v>
      </c>
    </row>
    <row r="91" spans="1:4" x14ac:dyDescent="0.3">
      <c r="A91" s="7">
        <v>2021117300</v>
      </c>
      <c r="B91" s="23" t="s">
        <v>107</v>
      </c>
      <c r="C91" s="34">
        <v>27539</v>
      </c>
      <c r="D91" s="44">
        <v>308718.43943852006</v>
      </c>
    </row>
    <row r="92" spans="1:4" x14ac:dyDescent="0.3">
      <c r="A92" s="7">
        <v>2021300900</v>
      </c>
      <c r="B92" s="20" t="s">
        <v>108</v>
      </c>
      <c r="C92" s="34">
        <v>34072</v>
      </c>
      <c r="D92" s="44">
        <v>385764.50521719997</v>
      </c>
    </row>
    <row r="93" spans="1:4" x14ac:dyDescent="0.3">
      <c r="A93" s="7">
        <v>2021117500</v>
      </c>
      <c r="B93" s="21" t="s">
        <v>109</v>
      </c>
      <c r="C93" s="34">
        <v>39149</v>
      </c>
      <c r="D93" s="44">
        <v>479898.91798299999</v>
      </c>
    </row>
    <row r="94" spans="1:4" x14ac:dyDescent="0.3">
      <c r="A94" s="12">
        <v>2021117600</v>
      </c>
      <c r="B94" s="20" t="s">
        <v>110</v>
      </c>
      <c r="C94" s="37">
        <v>24688</v>
      </c>
      <c r="D94" s="44">
        <v>258025.41495399998</v>
      </c>
    </row>
    <row r="95" spans="1:4" x14ac:dyDescent="0.3">
      <c r="A95" s="5">
        <v>2021113900</v>
      </c>
      <c r="B95" s="20" t="s">
        <v>111</v>
      </c>
      <c r="C95" s="34">
        <v>34854</v>
      </c>
      <c r="D95" s="43">
        <v>310832.66076079995</v>
      </c>
    </row>
    <row r="96" spans="1:4" x14ac:dyDescent="0.3">
      <c r="A96" s="4">
        <v>2021117900</v>
      </c>
      <c r="B96" s="20" t="s">
        <v>112</v>
      </c>
      <c r="C96" s="34">
        <v>19772</v>
      </c>
      <c r="D96" s="44">
        <v>201035.801248</v>
      </c>
    </row>
    <row r="97" spans="1:4" x14ac:dyDescent="0.3">
      <c r="A97" s="7">
        <v>2021118000</v>
      </c>
      <c r="B97" s="23" t="s">
        <v>113</v>
      </c>
      <c r="C97" s="34">
        <v>20080</v>
      </c>
      <c r="D97" s="44">
        <v>266594.09938000003</v>
      </c>
    </row>
    <row r="98" spans="1:4" x14ac:dyDescent="0.3">
      <c r="A98" s="7">
        <v>2021114300</v>
      </c>
      <c r="B98" s="20" t="s">
        <v>114</v>
      </c>
      <c r="C98" s="34">
        <v>17404</v>
      </c>
      <c r="D98" s="43">
        <v>157943.88953799999</v>
      </c>
    </row>
    <row r="99" spans="1:4" x14ac:dyDescent="0.3">
      <c r="A99" s="12">
        <v>2021118500</v>
      </c>
      <c r="B99" s="21" t="s">
        <v>115</v>
      </c>
      <c r="C99" s="34">
        <v>32862</v>
      </c>
      <c r="D99" s="44">
        <v>319752.52452600002</v>
      </c>
    </row>
    <row r="100" spans="1:4" x14ac:dyDescent="0.3">
      <c r="A100" s="5">
        <v>2021114500</v>
      </c>
      <c r="B100" s="22" t="s">
        <v>116</v>
      </c>
      <c r="C100" s="34">
        <v>31420</v>
      </c>
      <c r="D100" s="43">
        <v>272214.82350499998</v>
      </c>
    </row>
    <row r="101" spans="1:4" x14ac:dyDescent="0.3">
      <c r="A101" s="7">
        <v>2021114500</v>
      </c>
      <c r="B101" s="22" t="s">
        <v>116</v>
      </c>
      <c r="C101" s="34">
        <v>1240</v>
      </c>
      <c r="D101" s="44">
        <v>10744.227999999999</v>
      </c>
    </row>
    <row r="102" spans="1:4" x14ac:dyDescent="0.3">
      <c r="A102" s="4">
        <v>2021118200</v>
      </c>
      <c r="B102" s="21" t="s">
        <v>117</v>
      </c>
      <c r="C102" s="34">
        <v>33132</v>
      </c>
      <c r="D102" s="44">
        <v>319846.40295600001</v>
      </c>
    </row>
    <row r="103" spans="1:4" x14ac:dyDescent="0.3">
      <c r="A103" s="5">
        <v>2021114600</v>
      </c>
      <c r="B103" s="21" t="s">
        <v>118</v>
      </c>
      <c r="C103" s="34">
        <v>29604</v>
      </c>
      <c r="D103" s="43">
        <v>260307.37973700001</v>
      </c>
    </row>
    <row r="104" spans="1:4" x14ac:dyDescent="0.3">
      <c r="A104" s="7">
        <v>2021114700</v>
      </c>
      <c r="B104" s="20" t="s">
        <v>119</v>
      </c>
      <c r="C104" s="34">
        <v>30261</v>
      </c>
      <c r="D104" s="43">
        <v>282775.78528399998</v>
      </c>
    </row>
    <row r="105" spans="1:4" x14ac:dyDescent="0.3">
      <c r="A105" s="11">
        <v>2021118100</v>
      </c>
      <c r="B105" s="20" t="s">
        <v>120</v>
      </c>
      <c r="C105" s="34">
        <v>28880</v>
      </c>
      <c r="D105" s="43">
        <v>283283.97925400001</v>
      </c>
    </row>
    <row r="106" spans="1:4" x14ac:dyDescent="0.3">
      <c r="A106" s="7">
        <v>2021119100</v>
      </c>
      <c r="B106" s="21" t="s">
        <v>121</v>
      </c>
      <c r="C106" s="34">
        <v>22500</v>
      </c>
      <c r="D106" s="44">
        <v>294977.7</v>
      </c>
    </row>
    <row r="107" spans="1:4" x14ac:dyDescent="0.3">
      <c r="A107" s="5">
        <v>2021114800</v>
      </c>
      <c r="B107" s="20" t="s">
        <v>122</v>
      </c>
      <c r="C107" s="34">
        <v>26657</v>
      </c>
      <c r="D107" s="43">
        <v>235576.77214399999</v>
      </c>
    </row>
    <row r="108" spans="1:4" x14ac:dyDescent="0.3">
      <c r="A108" s="7">
        <v>2021114900</v>
      </c>
      <c r="B108" s="21" t="s">
        <v>123</v>
      </c>
      <c r="C108" s="34">
        <v>16122</v>
      </c>
      <c r="D108" s="43">
        <v>143124.57283590001</v>
      </c>
    </row>
    <row r="109" spans="1:4" x14ac:dyDescent="0.3">
      <c r="A109" s="7">
        <v>2021119200</v>
      </c>
      <c r="B109" s="21" t="s">
        <v>124</v>
      </c>
      <c r="C109" s="34">
        <v>3733</v>
      </c>
      <c r="D109" s="44">
        <v>40290.269</v>
      </c>
    </row>
    <row r="110" spans="1:4" x14ac:dyDescent="0.3">
      <c r="A110" s="5">
        <v>2021115400</v>
      </c>
      <c r="B110" s="22" t="s">
        <v>125</v>
      </c>
      <c r="C110" s="34">
        <v>15815</v>
      </c>
      <c r="D110" s="43">
        <v>138803.44458500002</v>
      </c>
    </row>
    <row r="111" spans="1:4" x14ac:dyDescent="0.3">
      <c r="A111" s="11">
        <v>2021119000</v>
      </c>
      <c r="B111" s="21" t="s">
        <v>126</v>
      </c>
      <c r="C111" s="34">
        <v>25079</v>
      </c>
      <c r="D111" s="44">
        <v>255261.78875100001</v>
      </c>
    </row>
    <row r="112" spans="1:4" x14ac:dyDescent="0.3">
      <c r="A112" s="7">
        <v>2021500100</v>
      </c>
      <c r="B112" s="20" t="s">
        <v>127</v>
      </c>
      <c r="C112" s="34">
        <v>20820</v>
      </c>
      <c r="D112" s="44">
        <v>261159</v>
      </c>
    </row>
    <row r="113" spans="1:4" x14ac:dyDescent="0.3">
      <c r="A113" s="11">
        <v>2021120000</v>
      </c>
      <c r="B113" s="21" t="s">
        <v>128</v>
      </c>
      <c r="C113" s="34">
        <v>24252</v>
      </c>
      <c r="D113" s="44">
        <v>239664.17753299998</v>
      </c>
    </row>
    <row r="114" spans="1:4" x14ac:dyDescent="0.3">
      <c r="A114" s="7">
        <v>2021120100</v>
      </c>
      <c r="B114" s="24" t="s">
        <v>129</v>
      </c>
      <c r="C114" s="34">
        <v>35736</v>
      </c>
      <c r="D114" s="44">
        <v>363488.81900999998</v>
      </c>
    </row>
    <row r="115" spans="1:4" x14ac:dyDescent="0.3">
      <c r="A115" s="5">
        <v>2021115700</v>
      </c>
      <c r="B115" s="21" t="s">
        <v>130</v>
      </c>
      <c r="C115" s="34">
        <v>28051</v>
      </c>
      <c r="D115" s="43">
        <v>246672.59951959999</v>
      </c>
    </row>
    <row r="116" spans="1:4" x14ac:dyDescent="0.3">
      <c r="A116" s="5">
        <v>2021116700</v>
      </c>
      <c r="B116" s="22" t="s">
        <v>131</v>
      </c>
      <c r="C116" s="34">
        <v>9492</v>
      </c>
      <c r="D116" s="44">
        <v>82822.445999999996</v>
      </c>
    </row>
    <row r="117" spans="1:4" x14ac:dyDescent="0.3">
      <c r="A117" s="5">
        <v>2021117200</v>
      </c>
      <c r="B117" s="20" t="s">
        <v>132</v>
      </c>
      <c r="C117" s="34">
        <v>5832</v>
      </c>
      <c r="D117" s="44">
        <v>49084.561440000005</v>
      </c>
    </row>
    <row r="118" spans="1:4" x14ac:dyDescent="0.3">
      <c r="A118" s="7">
        <v>2021500200</v>
      </c>
      <c r="B118" s="20" t="s">
        <v>133</v>
      </c>
      <c r="C118" s="34">
        <v>23880</v>
      </c>
      <c r="D118" s="44">
        <v>273471.59999999998</v>
      </c>
    </row>
    <row r="119" spans="1:4" x14ac:dyDescent="0.3">
      <c r="A119" s="9">
        <v>2021108000</v>
      </c>
      <c r="B119" s="21" t="s">
        <v>134</v>
      </c>
      <c r="C119" s="34">
        <v>16078</v>
      </c>
      <c r="D119" s="43">
        <v>155301.70407930002</v>
      </c>
    </row>
    <row r="120" spans="1:4" x14ac:dyDescent="0.3">
      <c r="A120" s="7">
        <v>2021121000</v>
      </c>
      <c r="B120" s="24" t="s">
        <v>135</v>
      </c>
      <c r="C120" s="34">
        <v>23646</v>
      </c>
      <c r="D120" s="44">
        <v>307301.40169800003</v>
      </c>
    </row>
    <row r="121" spans="1:4" x14ac:dyDescent="0.3">
      <c r="A121" s="11">
        <v>2021120900</v>
      </c>
      <c r="B121" s="21" t="s">
        <v>136</v>
      </c>
      <c r="C121" s="34">
        <v>24528</v>
      </c>
      <c r="D121" s="43">
        <v>268615.01647800003</v>
      </c>
    </row>
    <row r="122" spans="1:4" x14ac:dyDescent="0.3">
      <c r="A122" s="7">
        <v>2021121300</v>
      </c>
      <c r="B122" s="20" t="s">
        <v>137</v>
      </c>
      <c r="C122" s="34">
        <v>30602</v>
      </c>
      <c r="D122" s="44">
        <v>314851.31505399995</v>
      </c>
    </row>
    <row r="123" spans="1:4" x14ac:dyDescent="0.3">
      <c r="A123" s="5">
        <v>2021117800</v>
      </c>
      <c r="B123" s="21" t="s">
        <v>138</v>
      </c>
      <c r="C123" s="34">
        <v>23218</v>
      </c>
      <c r="D123" s="43">
        <v>203072.760156</v>
      </c>
    </row>
    <row r="124" spans="1:4" x14ac:dyDescent="0.3">
      <c r="A124" s="6">
        <v>2021120400</v>
      </c>
      <c r="B124" s="20" t="s">
        <v>139</v>
      </c>
      <c r="C124" s="34">
        <v>15235</v>
      </c>
      <c r="D124" s="43">
        <v>168716.69394</v>
      </c>
    </row>
    <row r="125" spans="1:4" x14ac:dyDescent="0.3">
      <c r="A125" s="7">
        <v>2021118300</v>
      </c>
      <c r="B125" s="21" t="s">
        <v>140</v>
      </c>
      <c r="C125" s="33">
        <v>28128</v>
      </c>
      <c r="D125" s="43">
        <v>246235.22168999998</v>
      </c>
    </row>
    <row r="126" spans="1:4" x14ac:dyDescent="0.3">
      <c r="A126" s="5">
        <v>2021118400</v>
      </c>
      <c r="B126" s="20" t="s">
        <v>141</v>
      </c>
      <c r="C126" s="34">
        <v>12484</v>
      </c>
      <c r="D126" s="43">
        <v>109895.046366</v>
      </c>
    </row>
    <row r="127" spans="1:4" x14ac:dyDescent="0.3">
      <c r="A127" s="7">
        <v>2021121100</v>
      </c>
      <c r="B127" s="21" t="s">
        <v>142</v>
      </c>
      <c r="C127" s="34">
        <v>29213</v>
      </c>
      <c r="D127" s="44">
        <v>323220.324357</v>
      </c>
    </row>
    <row r="128" spans="1:4" x14ac:dyDescent="0.3">
      <c r="A128" s="7">
        <v>2021122200</v>
      </c>
      <c r="B128" s="20" t="s">
        <v>143</v>
      </c>
      <c r="C128" s="34">
        <v>12510</v>
      </c>
      <c r="D128" s="44">
        <v>167796.24200000003</v>
      </c>
    </row>
    <row r="129" spans="1:4" x14ac:dyDescent="0.3">
      <c r="A129" s="6">
        <v>2021122100</v>
      </c>
      <c r="B129" s="21" t="s">
        <v>144</v>
      </c>
      <c r="C129" s="34">
        <v>28089</v>
      </c>
      <c r="D129" s="44">
        <v>282422.79015000002</v>
      </c>
    </row>
    <row r="130" spans="1:4" x14ac:dyDescent="0.3">
      <c r="A130" s="5">
        <v>2021118600</v>
      </c>
      <c r="B130" s="22" t="s">
        <v>145</v>
      </c>
      <c r="C130" s="34">
        <v>24939</v>
      </c>
      <c r="D130" s="43">
        <v>215831.50352099998</v>
      </c>
    </row>
    <row r="131" spans="1:4" x14ac:dyDescent="0.3">
      <c r="A131" s="13">
        <v>2021301100</v>
      </c>
      <c r="B131" s="21" t="s">
        <v>146</v>
      </c>
      <c r="C131" s="34">
        <v>35504</v>
      </c>
      <c r="D131" s="44">
        <v>383740.17449559999</v>
      </c>
    </row>
    <row r="132" spans="1:4" x14ac:dyDescent="0.3">
      <c r="A132" s="7">
        <v>2021118600</v>
      </c>
      <c r="B132" s="22" t="s">
        <v>145</v>
      </c>
      <c r="C132" s="33">
        <v>5443</v>
      </c>
      <c r="D132" s="44">
        <v>47161.962099999997</v>
      </c>
    </row>
    <row r="133" spans="1:4" x14ac:dyDescent="0.3">
      <c r="A133" s="7">
        <v>2021301300</v>
      </c>
      <c r="B133" s="21" t="s">
        <v>147</v>
      </c>
      <c r="C133" s="34">
        <v>21019</v>
      </c>
      <c r="D133" s="44">
        <v>244202.79167799998</v>
      </c>
    </row>
    <row r="134" spans="1:4" x14ac:dyDescent="0.3">
      <c r="A134" s="11">
        <v>2021121600</v>
      </c>
      <c r="B134" s="20" t="s">
        <v>148</v>
      </c>
      <c r="C134" s="34">
        <v>32952</v>
      </c>
      <c r="D134" s="44">
        <v>329235.82137799996</v>
      </c>
    </row>
    <row r="135" spans="1:4" x14ac:dyDescent="0.3">
      <c r="A135" s="11">
        <v>2021122600</v>
      </c>
      <c r="B135" s="21" t="s">
        <v>149</v>
      </c>
      <c r="C135" s="34">
        <v>27129</v>
      </c>
      <c r="D135" s="44">
        <v>267918.31448320003</v>
      </c>
    </row>
    <row r="136" spans="1:4" x14ac:dyDescent="0.3">
      <c r="A136" s="7">
        <v>2022800100</v>
      </c>
      <c r="B136" s="20" t="s">
        <v>150</v>
      </c>
      <c r="C136" s="34">
        <v>20082</v>
      </c>
      <c r="D136" s="44">
        <v>217289.15357700002</v>
      </c>
    </row>
    <row r="137" spans="1:4" x14ac:dyDescent="0.3">
      <c r="A137" s="7">
        <v>2021122700</v>
      </c>
      <c r="B137" s="21" t="s">
        <v>151</v>
      </c>
      <c r="C137" s="34">
        <v>18757</v>
      </c>
      <c r="D137" s="44">
        <v>205692.53224999999</v>
      </c>
    </row>
    <row r="138" spans="1:4" x14ac:dyDescent="0.3">
      <c r="A138" s="7">
        <v>2021301200</v>
      </c>
      <c r="B138" s="20" t="s">
        <v>152</v>
      </c>
      <c r="C138" s="34">
        <v>32823</v>
      </c>
      <c r="D138" s="44">
        <v>368843.54795220005</v>
      </c>
    </row>
    <row r="139" spans="1:4" x14ac:dyDescent="0.3">
      <c r="A139" s="7">
        <v>2021122800</v>
      </c>
      <c r="B139" s="21" t="s">
        <v>153</v>
      </c>
      <c r="C139" s="34">
        <v>12550</v>
      </c>
      <c r="D139" s="44">
        <v>136185.95599999998</v>
      </c>
    </row>
    <row r="140" spans="1:4" x14ac:dyDescent="0.3">
      <c r="A140" s="7">
        <v>2021122900</v>
      </c>
      <c r="B140" s="20" t="s">
        <v>154</v>
      </c>
      <c r="C140" s="34"/>
      <c r="D140" s="44">
        <v>0</v>
      </c>
    </row>
    <row r="141" spans="1:4" x14ac:dyDescent="0.3">
      <c r="A141" s="7">
        <v>2021122900</v>
      </c>
      <c r="B141" s="20" t="s">
        <v>154</v>
      </c>
      <c r="C141" s="33">
        <v>23987</v>
      </c>
      <c r="D141" s="43">
        <v>221738.7285732</v>
      </c>
    </row>
    <row r="142" spans="1:4" x14ac:dyDescent="0.3">
      <c r="A142" s="11">
        <v>2021123000</v>
      </c>
      <c r="B142" s="21" t="s">
        <v>155</v>
      </c>
      <c r="C142" s="34">
        <v>10051</v>
      </c>
      <c r="D142" s="44">
        <v>103130.73942099999</v>
      </c>
    </row>
    <row r="143" spans="1:4" x14ac:dyDescent="0.3">
      <c r="A143" s="7">
        <v>2021123100</v>
      </c>
      <c r="B143" s="20" t="s">
        <v>156</v>
      </c>
      <c r="C143" s="34">
        <v>18774</v>
      </c>
      <c r="D143" s="44">
        <v>188272.58083200001</v>
      </c>
    </row>
    <row r="144" spans="1:4" x14ac:dyDescent="0.3">
      <c r="A144" s="7">
        <v>2021123200</v>
      </c>
      <c r="B144" s="21" t="s">
        <v>157</v>
      </c>
      <c r="C144" s="34">
        <v>33758</v>
      </c>
      <c r="D144" s="44">
        <v>338537.64694400004</v>
      </c>
    </row>
    <row r="145" spans="1:4" x14ac:dyDescent="0.3">
      <c r="A145" s="7">
        <v>2021123400</v>
      </c>
      <c r="B145" s="20" t="s">
        <v>158</v>
      </c>
      <c r="C145" s="34">
        <v>9000</v>
      </c>
      <c r="D145" s="44">
        <v>97578.84599999999</v>
      </c>
    </row>
    <row r="146" spans="1:4" x14ac:dyDescent="0.3">
      <c r="A146" s="13">
        <v>2021400300</v>
      </c>
      <c r="B146" s="21" t="s">
        <v>159</v>
      </c>
      <c r="C146" s="34">
        <v>25382</v>
      </c>
      <c r="D146" s="44">
        <v>264512.43589050003</v>
      </c>
    </row>
    <row r="147" spans="1:4" x14ac:dyDescent="0.3">
      <c r="A147" s="7">
        <v>2021123600</v>
      </c>
      <c r="B147" s="24" t="s">
        <v>160</v>
      </c>
      <c r="C147" s="34">
        <v>20654</v>
      </c>
      <c r="D147" s="44">
        <v>264006.04774399998</v>
      </c>
    </row>
    <row r="148" spans="1:4" x14ac:dyDescent="0.3">
      <c r="A148" s="11">
        <v>2021123800</v>
      </c>
      <c r="B148" s="21" t="s">
        <v>161</v>
      </c>
      <c r="C148" s="34">
        <v>10121</v>
      </c>
      <c r="D148" s="44">
        <v>98979.948980999994</v>
      </c>
    </row>
    <row r="149" spans="1:4" x14ac:dyDescent="0.3">
      <c r="A149" s="5">
        <v>2021118700</v>
      </c>
      <c r="B149" s="20" t="s">
        <v>162</v>
      </c>
      <c r="C149" s="34">
        <v>25076</v>
      </c>
      <c r="D149" s="43">
        <v>217125.155803</v>
      </c>
    </row>
    <row r="150" spans="1:4" x14ac:dyDescent="0.3">
      <c r="A150" s="7">
        <v>2021123500</v>
      </c>
      <c r="B150" s="21" t="s">
        <v>163</v>
      </c>
      <c r="C150" s="34">
        <v>15652</v>
      </c>
      <c r="D150" s="44">
        <v>170316.81787999999</v>
      </c>
    </row>
    <row r="151" spans="1:4" x14ac:dyDescent="0.3">
      <c r="A151" s="9">
        <v>2021122500</v>
      </c>
      <c r="B151" s="20" t="s">
        <v>164</v>
      </c>
      <c r="C151" s="34">
        <v>23611</v>
      </c>
      <c r="D151" s="44">
        <v>230155.87329800002</v>
      </c>
    </row>
    <row r="152" spans="1:4" x14ac:dyDescent="0.3">
      <c r="A152" s="7">
        <v>2021118800</v>
      </c>
      <c r="B152" s="21" t="s">
        <v>165</v>
      </c>
      <c r="C152" s="33">
        <v>30984</v>
      </c>
      <c r="D152" s="43">
        <v>271559.02081999998</v>
      </c>
    </row>
    <row r="153" spans="1:4" x14ac:dyDescent="0.3">
      <c r="A153" s="7">
        <v>2021124200</v>
      </c>
      <c r="B153" s="20" t="s">
        <v>166</v>
      </c>
      <c r="C153" s="34">
        <v>19328</v>
      </c>
      <c r="D153" s="44">
        <v>193828.29670400001</v>
      </c>
    </row>
    <row r="154" spans="1:4" x14ac:dyDescent="0.3">
      <c r="A154" s="7">
        <v>2021118900</v>
      </c>
      <c r="B154" s="20" t="s">
        <v>167</v>
      </c>
      <c r="C154" s="33">
        <v>27263</v>
      </c>
      <c r="D154" s="44">
        <v>236225.71609999999</v>
      </c>
    </row>
    <row r="155" spans="1:4" x14ac:dyDescent="0.3">
      <c r="A155" s="5">
        <v>2021119200</v>
      </c>
      <c r="B155" s="21" t="s">
        <v>124</v>
      </c>
      <c r="C155" s="34">
        <v>23231</v>
      </c>
      <c r="D155" s="43">
        <v>211628.88865000001</v>
      </c>
    </row>
    <row r="156" spans="1:4" x14ac:dyDescent="0.3">
      <c r="A156" s="5">
        <v>2021120200</v>
      </c>
      <c r="B156" s="21" t="s">
        <v>168</v>
      </c>
      <c r="C156" s="34">
        <v>25583</v>
      </c>
      <c r="D156" s="43">
        <v>221738.521932</v>
      </c>
    </row>
    <row r="157" spans="1:4" x14ac:dyDescent="0.3">
      <c r="A157" s="14">
        <v>2021124100</v>
      </c>
      <c r="B157" s="20" t="s">
        <v>169</v>
      </c>
      <c r="C157" s="34">
        <v>17824</v>
      </c>
      <c r="D157" s="44">
        <v>175853.459042</v>
      </c>
    </row>
    <row r="158" spans="1:4" x14ac:dyDescent="0.3">
      <c r="A158" s="5">
        <v>2021120300</v>
      </c>
      <c r="B158" s="20" t="s">
        <v>170</v>
      </c>
      <c r="C158" s="34">
        <v>12504</v>
      </c>
      <c r="D158" s="44">
        <v>107422.11408</v>
      </c>
    </row>
    <row r="159" spans="1:4" x14ac:dyDescent="0.3">
      <c r="A159" s="7">
        <v>2021120500</v>
      </c>
      <c r="B159" s="21" t="s">
        <v>171</v>
      </c>
      <c r="C159" s="33">
        <v>28149</v>
      </c>
      <c r="D159" s="43">
        <v>248985.77799599999</v>
      </c>
    </row>
    <row r="160" spans="1:4" x14ac:dyDescent="0.3">
      <c r="A160" s="7">
        <v>2021120600</v>
      </c>
      <c r="B160" s="21" t="s">
        <v>172</v>
      </c>
      <c r="C160" s="33">
        <v>34428</v>
      </c>
      <c r="D160" s="43">
        <v>301512.49167000002</v>
      </c>
    </row>
    <row r="161" spans="1:4" x14ac:dyDescent="0.3">
      <c r="A161" s="9">
        <v>2021125600</v>
      </c>
      <c r="B161" s="20" t="s">
        <v>173</v>
      </c>
      <c r="C161" s="34">
        <v>23966</v>
      </c>
      <c r="D161" s="43">
        <v>237241.50128</v>
      </c>
    </row>
    <row r="162" spans="1:4" x14ac:dyDescent="0.3">
      <c r="A162" s="7">
        <v>2021124900</v>
      </c>
      <c r="B162" s="23" t="s">
        <v>174</v>
      </c>
      <c r="C162" s="34">
        <v>26793.748</v>
      </c>
      <c r="D162" s="44">
        <v>283829.34963812999</v>
      </c>
    </row>
    <row r="163" spans="1:4" x14ac:dyDescent="0.3">
      <c r="A163" s="6">
        <v>2021125400</v>
      </c>
      <c r="B163" s="20" t="s">
        <v>175</v>
      </c>
      <c r="C163" s="34">
        <v>24444</v>
      </c>
      <c r="D163" s="44">
        <v>262360.642078</v>
      </c>
    </row>
    <row r="164" spans="1:4" x14ac:dyDescent="0.3">
      <c r="A164" s="5">
        <v>2021120700</v>
      </c>
      <c r="B164" s="20" t="s">
        <v>176</v>
      </c>
      <c r="C164" s="34">
        <v>24749</v>
      </c>
      <c r="D164" s="43">
        <v>218750.02624040001</v>
      </c>
    </row>
    <row r="165" spans="1:4" x14ac:dyDescent="0.3">
      <c r="A165" s="7">
        <v>2021120800</v>
      </c>
      <c r="B165" s="20" t="s">
        <v>177</v>
      </c>
      <c r="C165" s="34">
        <v>15234</v>
      </c>
      <c r="D165" s="44">
        <v>131998.0398</v>
      </c>
    </row>
    <row r="166" spans="1:4" x14ac:dyDescent="0.3">
      <c r="A166" s="7">
        <v>2021121500</v>
      </c>
      <c r="B166" s="21" t="s">
        <v>178</v>
      </c>
      <c r="C166" s="34">
        <v>27554</v>
      </c>
      <c r="D166" s="43">
        <v>241520.53411499999</v>
      </c>
    </row>
    <row r="167" spans="1:4" x14ac:dyDescent="0.3">
      <c r="A167" s="7">
        <v>2021125800</v>
      </c>
      <c r="B167" s="20" t="s">
        <v>179</v>
      </c>
      <c r="C167" s="34">
        <v>24127</v>
      </c>
      <c r="D167" s="44">
        <v>241954.43473600002</v>
      </c>
    </row>
    <row r="168" spans="1:4" x14ac:dyDescent="0.3">
      <c r="A168" s="6">
        <v>2021126200</v>
      </c>
      <c r="B168" s="21" t="s">
        <v>180</v>
      </c>
      <c r="C168" s="34">
        <v>19659</v>
      </c>
      <c r="D168" s="44">
        <v>191888.74481200002</v>
      </c>
    </row>
    <row r="169" spans="1:4" x14ac:dyDescent="0.3">
      <c r="A169" s="5">
        <v>2021122000</v>
      </c>
      <c r="B169" s="21" t="s">
        <v>181</v>
      </c>
      <c r="C169" s="34">
        <v>8253</v>
      </c>
      <c r="D169" s="44">
        <v>70570.660229999994</v>
      </c>
    </row>
    <row r="170" spans="1:4" x14ac:dyDescent="0.3">
      <c r="A170" s="7">
        <v>2021122300</v>
      </c>
      <c r="B170" s="20" t="s">
        <v>182</v>
      </c>
      <c r="C170" s="34">
        <v>14677</v>
      </c>
      <c r="D170" s="44">
        <v>127171.80190000001</v>
      </c>
    </row>
    <row r="171" spans="1:4" x14ac:dyDescent="0.3">
      <c r="A171" s="6">
        <v>2021126900</v>
      </c>
      <c r="B171" s="20" t="s">
        <v>183</v>
      </c>
      <c r="C171" s="34">
        <v>33013</v>
      </c>
      <c r="D171" s="44">
        <v>323814.96376499999</v>
      </c>
    </row>
    <row r="172" spans="1:4" x14ac:dyDescent="0.3">
      <c r="A172" s="5">
        <v>2021123300</v>
      </c>
      <c r="B172" s="20" t="s">
        <v>184</v>
      </c>
      <c r="C172" s="34">
        <v>39050</v>
      </c>
      <c r="D172" s="43">
        <v>336581.62674500002</v>
      </c>
    </row>
    <row r="173" spans="1:4" x14ac:dyDescent="0.3">
      <c r="A173" s="5">
        <v>2021124000</v>
      </c>
      <c r="B173" s="22" t="s">
        <v>185</v>
      </c>
      <c r="C173" s="34">
        <v>28833</v>
      </c>
      <c r="D173" s="43">
        <v>250940.826768</v>
      </c>
    </row>
    <row r="174" spans="1:4" x14ac:dyDescent="0.3">
      <c r="A174" s="12">
        <v>2021126500</v>
      </c>
      <c r="B174" s="21" t="s">
        <v>186</v>
      </c>
      <c r="C174" s="34">
        <v>22383</v>
      </c>
      <c r="D174" s="44">
        <v>218532.257262</v>
      </c>
    </row>
    <row r="175" spans="1:4" x14ac:dyDescent="0.3">
      <c r="A175" s="7">
        <v>2021124500</v>
      </c>
      <c r="B175" s="20" t="s">
        <v>187</v>
      </c>
      <c r="C175" s="34">
        <v>28423</v>
      </c>
      <c r="D175" s="44">
        <v>246815.810295</v>
      </c>
    </row>
    <row r="176" spans="1:4" x14ac:dyDescent="0.3">
      <c r="A176" s="7">
        <v>2021127100</v>
      </c>
      <c r="B176" s="21" t="s">
        <v>188</v>
      </c>
      <c r="C176" s="34">
        <v>22180</v>
      </c>
      <c r="D176" s="44">
        <v>223486.59046200002</v>
      </c>
    </row>
    <row r="177" spans="1:4" x14ac:dyDescent="0.3">
      <c r="A177" s="12">
        <v>2021127200</v>
      </c>
      <c r="B177" s="20" t="s">
        <v>189</v>
      </c>
      <c r="C177" s="37">
        <v>35511</v>
      </c>
      <c r="D177" s="44">
        <v>346411.98321899999</v>
      </c>
    </row>
    <row r="178" spans="1:4" x14ac:dyDescent="0.3">
      <c r="A178" s="7">
        <v>2021127600</v>
      </c>
      <c r="B178" s="21" t="s">
        <v>190</v>
      </c>
      <c r="C178" s="34">
        <v>32101</v>
      </c>
      <c r="D178" s="44">
        <v>330694.67195000005</v>
      </c>
    </row>
    <row r="179" spans="1:4" x14ac:dyDescent="0.3">
      <c r="A179" s="7">
        <v>2021124600</v>
      </c>
      <c r="B179" s="21" t="s">
        <v>191</v>
      </c>
      <c r="C179" s="34">
        <v>15295</v>
      </c>
      <c r="D179" s="44">
        <v>132526.5865</v>
      </c>
    </row>
    <row r="180" spans="1:4" x14ac:dyDescent="0.3">
      <c r="A180" s="5">
        <v>2021124700</v>
      </c>
      <c r="B180" s="21" t="s">
        <v>192</v>
      </c>
      <c r="C180" s="34">
        <v>15474</v>
      </c>
      <c r="D180" s="43">
        <v>134570.881956</v>
      </c>
    </row>
    <row r="181" spans="1:4" x14ac:dyDescent="0.3">
      <c r="A181" s="11">
        <v>2021127800</v>
      </c>
      <c r="B181" s="20" t="s">
        <v>193</v>
      </c>
      <c r="C181" s="34">
        <v>24205</v>
      </c>
      <c r="D181" s="44">
        <v>272890.63512200001</v>
      </c>
    </row>
    <row r="182" spans="1:4" x14ac:dyDescent="0.3">
      <c r="A182" s="7">
        <v>2021127700</v>
      </c>
      <c r="B182" s="21" t="s">
        <v>194</v>
      </c>
      <c r="C182" s="34">
        <v>28352</v>
      </c>
      <c r="D182" s="43">
        <v>286618.05054199998</v>
      </c>
    </row>
    <row r="183" spans="1:4" x14ac:dyDescent="0.3">
      <c r="A183" s="7">
        <v>2021301400</v>
      </c>
      <c r="B183" s="20" t="s">
        <v>195</v>
      </c>
      <c r="C183" s="34">
        <v>29730</v>
      </c>
      <c r="D183" s="44">
        <v>345003.90293700004</v>
      </c>
    </row>
    <row r="184" spans="1:4" x14ac:dyDescent="0.3">
      <c r="A184" s="5">
        <v>2021125000</v>
      </c>
      <c r="B184" s="21" t="s">
        <v>196</v>
      </c>
      <c r="C184" s="34">
        <v>17056</v>
      </c>
      <c r="D184" s="44">
        <v>148220.66521599999</v>
      </c>
    </row>
    <row r="185" spans="1:4" x14ac:dyDescent="0.3">
      <c r="A185" s="15">
        <v>2021123700</v>
      </c>
      <c r="B185" s="20" t="s">
        <v>197</v>
      </c>
      <c r="C185" s="34">
        <v>45720</v>
      </c>
      <c r="D185" s="43">
        <v>541793.99692800001</v>
      </c>
    </row>
    <row r="186" spans="1:4" x14ac:dyDescent="0.3">
      <c r="A186" s="9">
        <v>2021128300</v>
      </c>
      <c r="B186" s="21" t="s">
        <v>198</v>
      </c>
      <c r="C186" s="34">
        <v>25236</v>
      </c>
      <c r="D186" s="44">
        <v>246429.85628499999</v>
      </c>
    </row>
    <row r="187" spans="1:4" x14ac:dyDescent="0.3">
      <c r="A187" s="11">
        <v>2021128200</v>
      </c>
      <c r="B187" s="20" t="s">
        <v>199</v>
      </c>
      <c r="C187" s="34">
        <v>26469</v>
      </c>
      <c r="D187" s="44">
        <v>256738.13008199999</v>
      </c>
    </row>
    <row r="188" spans="1:4" x14ac:dyDescent="0.3">
      <c r="A188" s="5">
        <v>2021125300</v>
      </c>
      <c r="B188" s="20" t="s">
        <v>200</v>
      </c>
      <c r="C188" s="34">
        <v>25008</v>
      </c>
      <c r="D188" s="43">
        <v>217431.76311200002</v>
      </c>
    </row>
    <row r="189" spans="1:4" x14ac:dyDescent="0.3">
      <c r="A189" s="12">
        <v>2021128000</v>
      </c>
      <c r="B189" s="20" t="s">
        <v>201</v>
      </c>
      <c r="C189" s="34">
        <v>15460</v>
      </c>
      <c r="D189" s="44">
        <v>153789.84961999999</v>
      </c>
    </row>
    <row r="190" spans="1:4" x14ac:dyDescent="0.3">
      <c r="A190" s="6">
        <v>2021125500</v>
      </c>
      <c r="B190" s="20" t="s">
        <v>202</v>
      </c>
      <c r="C190" s="34">
        <v>27925</v>
      </c>
      <c r="D190" s="43">
        <v>260791.43781900001</v>
      </c>
    </row>
    <row r="191" spans="1:4" x14ac:dyDescent="0.3">
      <c r="A191" s="5">
        <v>2021125700</v>
      </c>
      <c r="B191" s="20" t="s">
        <v>203</v>
      </c>
      <c r="C191" s="34">
        <v>20534</v>
      </c>
      <c r="D191" s="43">
        <v>181614.35898199998</v>
      </c>
    </row>
    <row r="192" spans="1:4" x14ac:dyDescent="0.3">
      <c r="A192" s="7">
        <v>2021128500</v>
      </c>
      <c r="B192" s="23" t="s">
        <v>204</v>
      </c>
      <c r="C192" s="34">
        <v>39210</v>
      </c>
      <c r="D192" s="44">
        <v>503838.80697600002</v>
      </c>
    </row>
    <row r="193" spans="1:4" x14ac:dyDescent="0.3">
      <c r="A193" s="5">
        <v>2021125900</v>
      </c>
      <c r="B193" s="21" t="s">
        <v>205</v>
      </c>
      <c r="C193" s="34">
        <v>23433</v>
      </c>
      <c r="D193" s="43">
        <v>203531.79523999998</v>
      </c>
    </row>
    <row r="194" spans="1:4" x14ac:dyDescent="0.3">
      <c r="A194" s="7">
        <v>2021126300</v>
      </c>
      <c r="B194" s="20" t="s">
        <v>206</v>
      </c>
      <c r="C194" s="34">
        <v>22949</v>
      </c>
      <c r="D194" s="43">
        <v>201390.216621</v>
      </c>
    </row>
    <row r="195" spans="1:4" x14ac:dyDescent="0.3">
      <c r="A195" s="7">
        <v>2021129000</v>
      </c>
      <c r="B195" s="20" t="s">
        <v>207</v>
      </c>
      <c r="C195" s="34">
        <v>13743</v>
      </c>
      <c r="D195" s="44">
        <v>131452.38594900002</v>
      </c>
    </row>
    <row r="196" spans="1:4" x14ac:dyDescent="0.3">
      <c r="A196" s="5">
        <v>2021126400</v>
      </c>
      <c r="B196" s="21" t="s">
        <v>208</v>
      </c>
      <c r="C196" s="34">
        <v>21532</v>
      </c>
      <c r="D196" s="43">
        <v>189049.48602399998</v>
      </c>
    </row>
    <row r="197" spans="1:4" x14ac:dyDescent="0.3">
      <c r="A197" s="7">
        <v>2021126600</v>
      </c>
      <c r="B197" s="20" t="s">
        <v>209</v>
      </c>
      <c r="C197" s="34">
        <v>32253</v>
      </c>
      <c r="D197" s="43">
        <v>282024.05596800003</v>
      </c>
    </row>
    <row r="198" spans="1:4" x14ac:dyDescent="0.3">
      <c r="A198" s="12">
        <v>2021129500</v>
      </c>
      <c r="B198" s="21" t="s">
        <v>210</v>
      </c>
      <c r="C198" s="34">
        <v>21826</v>
      </c>
      <c r="D198" s="44">
        <v>231094.936823</v>
      </c>
    </row>
    <row r="199" spans="1:4" x14ac:dyDescent="0.3">
      <c r="A199" s="6">
        <v>2021129700</v>
      </c>
      <c r="B199" s="20" t="s">
        <v>211</v>
      </c>
      <c r="C199" s="34">
        <v>19977</v>
      </c>
      <c r="D199" s="44">
        <v>216120.10633620003</v>
      </c>
    </row>
    <row r="200" spans="1:4" x14ac:dyDescent="0.3">
      <c r="A200" s="7">
        <v>2021129400</v>
      </c>
      <c r="B200" s="23" t="s">
        <v>212</v>
      </c>
      <c r="C200" s="34">
        <v>23500</v>
      </c>
      <c r="D200" s="44">
        <v>300368</v>
      </c>
    </row>
    <row r="201" spans="1:4" x14ac:dyDescent="0.3">
      <c r="A201" s="6">
        <v>2021129100</v>
      </c>
      <c r="B201" s="20" t="s">
        <v>213</v>
      </c>
      <c r="C201" s="34">
        <v>64786</v>
      </c>
      <c r="D201" s="44">
        <v>638899.26086360007</v>
      </c>
    </row>
    <row r="202" spans="1:4" x14ac:dyDescent="0.3">
      <c r="A202" s="7">
        <v>2021129900</v>
      </c>
      <c r="B202" s="21" t="s">
        <v>214</v>
      </c>
      <c r="C202" s="34">
        <v>26720</v>
      </c>
      <c r="D202" s="44">
        <v>265081.6384</v>
      </c>
    </row>
    <row r="203" spans="1:4" x14ac:dyDescent="0.3">
      <c r="A203" s="7">
        <v>2021129800</v>
      </c>
      <c r="B203" s="20" t="s">
        <v>215</v>
      </c>
      <c r="C203" s="34">
        <v>31682</v>
      </c>
      <c r="D203" s="43">
        <v>323335.36492399999</v>
      </c>
    </row>
    <row r="204" spans="1:4" x14ac:dyDescent="0.3">
      <c r="A204" s="7">
        <v>2021130000</v>
      </c>
      <c r="B204" s="21" t="s">
        <v>216</v>
      </c>
      <c r="C204" s="34">
        <v>16640</v>
      </c>
      <c r="D204" s="44">
        <v>166530.62399999998</v>
      </c>
    </row>
    <row r="205" spans="1:4" x14ac:dyDescent="0.3">
      <c r="A205" s="11">
        <v>2021130200</v>
      </c>
      <c r="B205" s="20" t="s">
        <v>217</v>
      </c>
      <c r="C205" s="34">
        <v>30067</v>
      </c>
      <c r="D205" s="44">
        <v>326089.91000599996</v>
      </c>
    </row>
    <row r="206" spans="1:4" x14ac:dyDescent="0.3">
      <c r="A206" s="11">
        <v>2021130300</v>
      </c>
      <c r="B206" s="21" t="s">
        <v>218</v>
      </c>
      <c r="C206" s="34">
        <v>37076</v>
      </c>
      <c r="D206" s="44">
        <v>360657.96690499998</v>
      </c>
    </row>
    <row r="207" spans="1:4" x14ac:dyDescent="0.3">
      <c r="A207" s="7">
        <v>2021130400</v>
      </c>
      <c r="B207" s="20" t="s">
        <v>219</v>
      </c>
      <c r="C207" s="34">
        <v>22929.599999999999</v>
      </c>
      <c r="D207" s="44">
        <v>266613.97629599995</v>
      </c>
    </row>
    <row r="208" spans="1:4" x14ac:dyDescent="0.3">
      <c r="A208" s="5">
        <v>2021126700</v>
      </c>
      <c r="B208" s="21" t="s">
        <v>220</v>
      </c>
      <c r="C208" s="34">
        <v>18462</v>
      </c>
      <c r="D208" s="43">
        <v>161287.91022300001</v>
      </c>
    </row>
    <row r="209" spans="1:4" x14ac:dyDescent="0.3">
      <c r="A209" s="12">
        <v>2021129600</v>
      </c>
      <c r="B209" s="20" t="s">
        <v>221</v>
      </c>
      <c r="C209" s="34">
        <v>20748</v>
      </c>
      <c r="D209" s="44">
        <v>206836.36124199998</v>
      </c>
    </row>
    <row r="210" spans="1:4" x14ac:dyDescent="0.3">
      <c r="A210" s="12">
        <v>2021131200</v>
      </c>
      <c r="B210" s="21" t="s">
        <v>222</v>
      </c>
      <c r="C210" s="34">
        <v>23199</v>
      </c>
      <c r="D210" s="44">
        <v>246129.159163</v>
      </c>
    </row>
    <row r="211" spans="1:4" x14ac:dyDescent="0.3">
      <c r="A211" s="6">
        <v>2021131300</v>
      </c>
      <c r="B211" s="20" t="s">
        <v>223</v>
      </c>
      <c r="C211" s="34">
        <v>26064</v>
      </c>
      <c r="D211" s="44">
        <v>255903.20509500001</v>
      </c>
    </row>
    <row r="212" spans="1:4" x14ac:dyDescent="0.3">
      <c r="A212" s="7">
        <v>2021131300</v>
      </c>
      <c r="B212" s="20" t="s">
        <v>223</v>
      </c>
      <c r="C212" s="34">
        <v>887</v>
      </c>
      <c r="D212" s="44">
        <v>8895.162416000001</v>
      </c>
    </row>
    <row r="213" spans="1:4" x14ac:dyDescent="0.3">
      <c r="A213" s="12">
        <v>2021131000</v>
      </c>
      <c r="B213" s="21" t="s">
        <v>224</v>
      </c>
      <c r="C213" s="34">
        <v>31333</v>
      </c>
      <c r="D213" s="44">
        <v>339952.85459200002</v>
      </c>
    </row>
    <row r="214" spans="1:4" x14ac:dyDescent="0.3">
      <c r="A214" s="7">
        <v>2021131400</v>
      </c>
      <c r="B214" s="20" t="s">
        <v>225</v>
      </c>
      <c r="C214" s="34">
        <v>38247</v>
      </c>
      <c r="D214" s="44">
        <v>387330.50008800003</v>
      </c>
    </row>
    <row r="215" spans="1:4" x14ac:dyDescent="0.3">
      <c r="A215" s="6">
        <v>2021130900</v>
      </c>
      <c r="B215" s="21" t="s">
        <v>226</v>
      </c>
      <c r="C215" s="34">
        <v>26950</v>
      </c>
      <c r="D215" s="43">
        <v>231176.87315699997</v>
      </c>
    </row>
    <row r="216" spans="1:4" x14ac:dyDescent="0.3">
      <c r="A216" s="12">
        <v>2021130700</v>
      </c>
      <c r="B216" s="20" t="s">
        <v>227</v>
      </c>
      <c r="C216" s="34">
        <v>31603</v>
      </c>
      <c r="D216" s="44">
        <v>331282.23561559996</v>
      </c>
    </row>
    <row r="217" spans="1:4" x14ac:dyDescent="0.3">
      <c r="A217" s="5">
        <v>2021126800</v>
      </c>
      <c r="B217" s="21" t="s">
        <v>228</v>
      </c>
      <c r="C217" s="34">
        <v>16413</v>
      </c>
      <c r="D217" s="43">
        <v>147179.00022599997</v>
      </c>
    </row>
    <row r="218" spans="1:4" x14ac:dyDescent="0.3">
      <c r="A218" s="6">
        <v>2021131500</v>
      </c>
      <c r="B218" s="20" t="s">
        <v>229</v>
      </c>
      <c r="C218" s="34">
        <v>20009</v>
      </c>
      <c r="D218" s="43">
        <v>202195.45524800001</v>
      </c>
    </row>
    <row r="219" spans="1:4" x14ac:dyDescent="0.3">
      <c r="A219" s="12">
        <v>2021130100</v>
      </c>
      <c r="B219" s="21" t="s">
        <v>230</v>
      </c>
      <c r="C219" s="34">
        <v>30190</v>
      </c>
      <c r="D219" s="44">
        <v>296115.53182900004</v>
      </c>
    </row>
    <row r="220" spans="1:4" x14ac:dyDescent="0.3">
      <c r="A220" s="6">
        <v>2021131100</v>
      </c>
      <c r="B220" s="20" t="s">
        <v>231</v>
      </c>
      <c r="C220" s="34">
        <v>23183</v>
      </c>
      <c r="D220" s="44">
        <v>239754.19011200001</v>
      </c>
    </row>
    <row r="221" spans="1:4" x14ac:dyDescent="0.3">
      <c r="A221" s="5">
        <v>2021131600</v>
      </c>
      <c r="B221" s="21" t="s">
        <v>232</v>
      </c>
      <c r="C221" s="34">
        <v>34852</v>
      </c>
      <c r="D221" s="44">
        <v>339749.23862999992</v>
      </c>
    </row>
    <row r="222" spans="1:4" x14ac:dyDescent="0.3">
      <c r="A222" s="12">
        <v>2021131700</v>
      </c>
      <c r="B222" s="20" t="s">
        <v>233</v>
      </c>
      <c r="C222" s="34">
        <v>40240</v>
      </c>
      <c r="D222" s="44">
        <v>456338.90719200001</v>
      </c>
    </row>
    <row r="223" spans="1:4" x14ac:dyDescent="0.3">
      <c r="A223" s="5">
        <v>2021127000</v>
      </c>
      <c r="B223" s="20" t="s">
        <v>234</v>
      </c>
      <c r="C223" s="34">
        <v>36180</v>
      </c>
      <c r="D223" s="43">
        <v>304943.23816999997</v>
      </c>
    </row>
    <row r="224" spans="1:4" x14ac:dyDescent="0.3">
      <c r="A224" s="12">
        <v>2021131800</v>
      </c>
      <c r="B224" s="20" t="s">
        <v>235</v>
      </c>
      <c r="C224" s="34">
        <v>33908</v>
      </c>
      <c r="D224" s="44">
        <v>356367.41933200002</v>
      </c>
    </row>
    <row r="225" spans="1:4" x14ac:dyDescent="0.3">
      <c r="A225" s="6">
        <v>2021127400</v>
      </c>
      <c r="B225" s="21" t="s">
        <v>236</v>
      </c>
      <c r="C225" s="34">
        <v>21749</v>
      </c>
      <c r="D225" s="43">
        <v>190879.23480000001</v>
      </c>
    </row>
    <row r="226" spans="1:4" x14ac:dyDescent="0.3">
      <c r="A226" s="6">
        <v>2021132800</v>
      </c>
      <c r="B226" s="20" t="s">
        <v>237</v>
      </c>
      <c r="C226" s="34">
        <v>12424</v>
      </c>
      <c r="D226" s="44">
        <v>115266.37663200001</v>
      </c>
    </row>
    <row r="227" spans="1:4" x14ac:dyDescent="0.3">
      <c r="A227" s="6">
        <v>2021133000</v>
      </c>
      <c r="B227" s="21" t="s">
        <v>238</v>
      </c>
      <c r="C227" s="38">
        <v>0</v>
      </c>
      <c r="D227" s="43">
        <v>2009.4088919999999</v>
      </c>
    </row>
    <row r="228" spans="1:4" x14ac:dyDescent="0.3">
      <c r="A228" s="13">
        <v>2021132900</v>
      </c>
      <c r="B228" s="20" t="s">
        <v>239</v>
      </c>
      <c r="C228" s="34">
        <v>63090</v>
      </c>
      <c r="D228" s="44">
        <v>684092.09602900001</v>
      </c>
    </row>
    <row r="229" spans="1:4" x14ac:dyDescent="0.3">
      <c r="A229" s="6">
        <v>2021132100</v>
      </c>
      <c r="B229" s="21" t="s">
        <v>240</v>
      </c>
      <c r="C229" s="34">
        <v>28372</v>
      </c>
      <c r="D229" s="43">
        <v>299056.21378400002</v>
      </c>
    </row>
    <row r="230" spans="1:4" x14ac:dyDescent="0.3">
      <c r="A230" s="6">
        <v>2021133100</v>
      </c>
      <c r="B230" s="20" t="s">
        <v>241</v>
      </c>
      <c r="C230" s="34">
        <v>35361</v>
      </c>
      <c r="D230" s="44">
        <v>348905.41722300003</v>
      </c>
    </row>
    <row r="231" spans="1:4" x14ac:dyDescent="0.3">
      <c r="A231" s="6">
        <v>2021132400</v>
      </c>
      <c r="B231" s="21" t="s">
        <v>242</v>
      </c>
      <c r="C231" s="34">
        <v>32813</v>
      </c>
      <c r="D231" s="44">
        <v>344388.86662510002</v>
      </c>
    </row>
    <row r="232" spans="1:4" x14ac:dyDescent="0.3">
      <c r="A232" s="7">
        <v>2021132200</v>
      </c>
      <c r="B232" s="24" t="s">
        <v>243</v>
      </c>
      <c r="C232" s="34">
        <f>27089+8762.9098</f>
        <v>35851.909800000001</v>
      </c>
      <c r="D232" s="44">
        <v>370037.22802599001</v>
      </c>
    </row>
    <row r="233" spans="1:4" x14ac:dyDescent="0.3">
      <c r="A233" s="12">
        <v>2021132500</v>
      </c>
      <c r="B233" s="21" t="s">
        <v>244</v>
      </c>
      <c r="C233" s="34">
        <v>35099</v>
      </c>
      <c r="D233" s="44">
        <v>342235.21317430004</v>
      </c>
    </row>
    <row r="234" spans="1:4" x14ac:dyDescent="0.3">
      <c r="A234" s="6">
        <v>2021132600</v>
      </c>
      <c r="B234" s="20" t="s">
        <v>245</v>
      </c>
      <c r="C234" s="34">
        <v>26036</v>
      </c>
      <c r="D234" s="44">
        <v>273517.80646599998</v>
      </c>
    </row>
    <row r="235" spans="1:4" x14ac:dyDescent="0.3">
      <c r="A235" s="11">
        <v>2021133300</v>
      </c>
      <c r="B235" s="21" t="s">
        <v>246</v>
      </c>
      <c r="C235" s="34">
        <v>29110</v>
      </c>
      <c r="D235" s="44">
        <v>310717.46187999996</v>
      </c>
    </row>
    <row r="236" spans="1:4" x14ac:dyDescent="0.3">
      <c r="A236" s="7">
        <v>2021132000</v>
      </c>
      <c r="B236" s="20" t="s">
        <v>247</v>
      </c>
      <c r="C236" s="34">
        <v>31080</v>
      </c>
      <c r="D236" s="44">
        <v>303288.47328000003</v>
      </c>
    </row>
    <row r="237" spans="1:4" x14ac:dyDescent="0.3">
      <c r="A237" s="11">
        <v>2021133500</v>
      </c>
      <c r="B237" s="21" t="s">
        <v>248</v>
      </c>
      <c r="C237" s="34">
        <v>27029</v>
      </c>
      <c r="D237" s="44">
        <v>288809.20494999998</v>
      </c>
    </row>
    <row r="238" spans="1:4" x14ac:dyDescent="0.3">
      <c r="A238" s="6">
        <v>2021133900</v>
      </c>
      <c r="B238" s="20" t="s">
        <v>249</v>
      </c>
      <c r="C238" s="34">
        <v>37030</v>
      </c>
      <c r="D238" s="43">
        <v>364157.2304</v>
      </c>
    </row>
    <row r="239" spans="1:4" x14ac:dyDescent="0.3">
      <c r="A239" s="12">
        <v>2021134000</v>
      </c>
      <c r="B239" s="21" t="s">
        <v>250</v>
      </c>
      <c r="C239" s="34">
        <v>27006</v>
      </c>
      <c r="D239" s="44">
        <v>297697.10236199998</v>
      </c>
    </row>
    <row r="240" spans="1:4" x14ac:dyDescent="0.3">
      <c r="A240" s="6">
        <v>2021133400</v>
      </c>
      <c r="B240" s="20" t="s">
        <v>251</v>
      </c>
      <c r="C240" s="34">
        <v>37292</v>
      </c>
      <c r="D240" s="43">
        <v>397610.72406800004</v>
      </c>
    </row>
    <row r="241" spans="1:4" x14ac:dyDescent="0.3">
      <c r="A241" s="6">
        <v>2021134200</v>
      </c>
      <c r="B241" s="21" t="s">
        <v>252</v>
      </c>
      <c r="C241" s="34">
        <v>28871</v>
      </c>
      <c r="D241" s="43">
        <v>316663.74920200004</v>
      </c>
    </row>
    <row r="242" spans="1:4" x14ac:dyDescent="0.3">
      <c r="A242" s="7">
        <v>2021133700</v>
      </c>
      <c r="B242" s="20" t="s">
        <v>253</v>
      </c>
      <c r="C242" s="34">
        <v>35844</v>
      </c>
      <c r="D242" s="44">
        <v>361949.76228000002</v>
      </c>
    </row>
    <row r="243" spans="1:4" x14ac:dyDescent="0.3">
      <c r="A243" s="10">
        <v>2021201300</v>
      </c>
      <c r="B243" s="21" t="s">
        <v>254</v>
      </c>
      <c r="C243" s="34">
        <v>33792</v>
      </c>
      <c r="D243" s="44">
        <v>353646.64642999996</v>
      </c>
    </row>
    <row r="244" spans="1:4" x14ac:dyDescent="0.3">
      <c r="A244" s="7">
        <v>2021301500</v>
      </c>
      <c r="B244" s="20" t="s">
        <v>255</v>
      </c>
      <c r="C244" s="34"/>
      <c r="D244" s="44">
        <v>0</v>
      </c>
    </row>
    <row r="245" spans="1:4" x14ac:dyDescent="0.3">
      <c r="A245" s="7">
        <v>2021301500</v>
      </c>
      <c r="B245" s="20" t="s">
        <v>255</v>
      </c>
      <c r="C245" s="34">
        <v>40669</v>
      </c>
      <c r="D245" s="44">
        <v>454977.02098820003</v>
      </c>
    </row>
    <row r="246" spans="1:4" x14ac:dyDescent="0.3">
      <c r="A246" s="16">
        <v>2021500700</v>
      </c>
      <c r="B246" s="21" t="s">
        <v>256</v>
      </c>
      <c r="C246" s="34">
        <v>29419</v>
      </c>
      <c r="D246" s="44">
        <v>326113.74915599998</v>
      </c>
    </row>
    <row r="247" spans="1:4" x14ac:dyDescent="0.3">
      <c r="A247" s="11">
        <v>2021133600</v>
      </c>
      <c r="B247" s="20" t="s">
        <v>257</v>
      </c>
      <c r="C247" s="34">
        <v>37188</v>
      </c>
      <c r="D247" s="43">
        <v>360721.2746</v>
      </c>
    </row>
    <row r="248" spans="1:4" x14ac:dyDescent="0.3">
      <c r="A248" s="6">
        <v>2021134100</v>
      </c>
      <c r="B248" s="21" t="s">
        <v>258</v>
      </c>
      <c r="C248" s="34">
        <v>32569</v>
      </c>
      <c r="D248" s="43">
        <v>365776.02891899995</v>
      </c>
    </row>
    <row r="249" spans="1:4" x14ac:dyDescent="0.3">
      <c r="A249" s="7">
        <v>2021133200</v>
      </c>
      <c r="B249" s="20" t="s">
        <v>259</v>
      </c>
      <c r="C249" s="34">
        <v>29930</v>
      </c>
      <c r="D249" s="44">
        <v>302824.03393440001</v>
      </c>
    </row>
    <row r="250" spans="1:4" x14ac:dyDescent="0.3">
      <c r="A250" s="15">
        <v>2021134500</v>
      </c>
      <c r="B250" s="21" t="s">
        <v>260</v>
      </c>
      <c r="C250" s="34">
        <v>29467</v>
      </c>
      <c r="D250" s="44">
        <v>331571.39951899997</v>
      </c>
    </row>
    <row r="251" spans="1:4" x14ac:dyDescent="0.3">
      <c r="A251" s="7">
        <v>2021134900</v>
      </c>
      <c r="B251" s="20" t="s">
        <v>261</v>
      </c>
      <c r="C251" s="34">
        <v>28550</v>
      </c>
      <c r="D251" s="44">
        <v>291486.61084000004</v>
      </c>
    </row>
    <row r="252" spans="1:4" x14ac:dyDescent="0.3">
      <c r="A252" s="17">
        <v>2021134700</v>
      </c>
      <c r="B252" s="21" t="s">
        <v>262</v>
      </c>
      <c r="C252" s="34">
        <v>88149</v>
      </c>
      <c r="D252" s="44">
        <v>915560.11527300009</v>
      </c>
    </row>
    <row r="253" spans="1:4" x14ac:dyDescent="0.3">
      <c r="A253" s="6">
        <v>2021133800</v>
      </c>
      <c r="B253" s="20" t="s">
        <v>263</v>
      </c>
      <c r="C253" s="34">
        <v>40110</v>
      </c>
      <c r="D253" s="43">
        <v>401535.36869999999</v>
      </c>
    </row>
    <row r="254" spans="1:4" x14ac:dyDescent="0.3">
      <c r="A254" s="6">
        <v>2021134400</v>
      </c>
      <c r="B254" s="21" t="s">
        <v>264</v>
      </c>
      <c r="C254" s="34">
        <v>28638</v>
      </c>
      <c r="D254" s="44">
        <v>300521.60266299994</v>
      </c>
    </row>
    <row r="255" spans="1:4" x14ac:dyDescent="0.3">
      <c r="A255" s="6">
        <v>2021136000</v>
      </c>
      <c r="B255" s="20" t="s">
        <v>265</v>
      </c>
      <c r="C255" s="34">
        <v>31900</v>
      </c>
      <c r="D255" s="44">
        <v>315696.97477999999</v>
      </c>
    </row>
    <row r="256" spans="1:4" x14ac:dyDescent="0.3">
      <c r="A256" s="6">
        <v>2021127900</v>
      </c>
      <c r="B256" s="21" t="s">
        <v>266</v>
      </c>
      <c r="C256" s="34">
        <v>17831</v>
      </c>
      <c r="D256" s="44">
        <v>153668.80617</v>
      </c>
    </row>
    <row r="257" spans="1:4" x14ac:dyDescent="0.3">
      <c r="A257" s="5">
        <v>2021128400</v>
      </c>
      <c r="B257" s="21" t="s">
        <v>267</v>
      </c>
      <c r="C257" s="34">
        <v>15626</v>
      </c>
      <c r="D257" s="43">
        <v>134560.19651500002</v>
      </c>
    </row>
    <row r="258" spans="1:4" x14ac:dyDescent="0.3">
      <c r="A258" s="7">
        <v>2021135400</v>
      </c>
      <c r="B258" s="21" t="s">
        <v>268</v>
      </c>
      <c r="C258" s="34">
        <v>31890</v>
      </c>
      <c r="D258" s="43">
        <v>322187.21430000005</v>
      </c>
    </row>
    <row r="259" spans="1:4" x14ac:dyDescent="0.3">
      <c r="A259" s="9">
        <v>2021135500</v>
      </c>
      <c r="B259" s="20" t="s">
        <v>269</v>
      </c>
      <c r="C259" s="34">
        <v>29857</v>
      </c>
      <c r="D259" s="44">
        <v>324358.32819500001</v>
      </c>
    </row>
    <row r="260" spans="1:4" x14ac:dyDescent="0.3">
      <c r="A260" s="6">
        <v>2021135600</v>
      </c>
      <c r="B260" s="21" t="s">
        <v>270</v>
      </c>
      <c r="C260" s="34">
        <v>29790</v>
      </c>
      <c r="D260" s="44">
        <v>320709.45581499999</v>
      </c>
    </row>
    <row r="261" spans="1:4" x14ac:dyDescent="0.3">
      <c r="A261" s="9">
        <v>2021135300</v>
      </c>
      <c r="B261" s="20" t="s">
        <v>271</v>
      </c>
      <c r="C261" s="34">
        <v>17420</v>
      </c>
      <c r="D261" s="44">
        <v>193301.141615</v>
      </c>
    </row>
    <row r="262" spans="1:4" x14ac:dyDescent="0.3">
      <c r="A262" s="6">
        <v>2021128600</v>
      </c>
      <c r="B262" s="20" t="s">
        <v>272</v>
      </c>
      <c r="C262" s="34">
        <v>49204</v>
      </c>
      <c r="D262" s="43">
        <v>424510.58940699999</v>
      </c>
    </row>
    <row r="263" spans="1:4" x14ac:dyDescent="0.3">
      <c r="A263" s="7">
        <v>2021136500</v>
      </c>
      <c r="B263" s="20" t="s">
        <v>273</v>
      </c>
      <c r="C263" s="34">
        <v>34612</v>
      </c>
      <c r="D263" s="43">
        <v>348536.17209600005</v>
      </c>
    </row>
    <row r="264" spans="1:4" x14ac:dyDescent="0.3">
      <c r="A264" s="9">
        <v>2021136200</v>
      </c>
      <c r="B264" s="21" t="s">
        <v>274</v>
      </c>
      <c r="C264" s="34">
        <v>28013</v>
      </c>
      <c r="D264" s="44">
        <v>298999.66297599993</v>
      </c>
    </row>
    <row r="265" spans="1:4" x14ac:dyDescent="0.3">
      <c r="A265" s="7">
        <v>2021137200</v>
      </c>
      <c r="B265" s="20" t="s">
        <v>275</v>
      </c>
      <c r="C265" s="34">
        <v>43837</v>
      </c>
      <c r="D265" s="44">
        <v>508944.26678599999</v>
      </c>
    </row>
    <row r="266" spans="1:4" x14ac:dyDescent="0.3">
      <c r="A266" s="7">
        <v>2021128800</v>
      </c>
      <c r="B266" s="20" t="s">
        <v>276</v>
      </c>
      <c r="C266" s="34">
        <v>33308</v>
      </c>
      <c r="D266" s="43">
        <v>291569.63803000003</v>
      </c>
    </row>
    <row r="267" spans="1:4" x14ac:dyDescent="0.3">
      <c r="A267" s="9">
        <v>2021135000</v>
      </c>
      <c r="B267" s="20" t="s">
        <v>277</v>
      </c>
      <c r="C267" s="34">
        <v>31588</v>
      </c>
      <c r="D267" s="43">
        <v>304867.67764000001</v>
      </c>
    </row>
    <row r="268" spans="1:4" x14ac:dyDescent="0.3">
      <c r="A268" s="7">
        <v>2021137500</v>
      </c>
      <c r="B268" s="21" t="s">
        <v>278</v>
      </c>
      <c r="C268" s="34">
        <v>29640</v>
      </c>
      <c r="D268" s="44">
        <v>308178.69431999995</v>
      </c>
    </row>
    <row r="269" spans="1:4" x14ac:dyDescent="0.3">
      <c r="A269" s="16">
        <v>2021128900</v>
      </c>
      <c r="B269" s="21" t="s">
        <v>279</v>
      </c>
      <c r="C269" s="34">
        <v>31321</v>
      </c>
      <c r="D269" s="43">
        <v>270003.72918999998</v>
      </c>
    </row>
    <row r="270" spans="1:4" x14ac:dyDescent="0.3">
      <c r="A270" s="11">
        <v>2021201400</v>
      </c>
      <c r="B270" s="21" t="s">
        <v>280</v>
      </c>
      <c r="C270" s="34">
        <v>22186</v>
      </c>
      <c r="D270" s="44">
        <v>260270.888026</v>
      </c>
    </row>
    <row r="271" spans="1:4" x14ac:dyDescent="0.3">
      <c r="A271" s="7">
        <v>2021137800</v>
      </c>
      <c r="B271" s="20" t="s">
        <v>281</v>
      </c>
      <c r="C271" s="34">
        <v>34744</v>
      </c>
      <c r="D271" s="43">
        <v>348425.61779200006</v>
      </c>
    </row>
    <row r="272" spans="1:4" x14ac:dyDescent="0.3">
      <c r="A272" s="6">
        <v>2021129200</v>
      </c>
      <c r="B272" s="20" t="s">
        <v>282</v>
      </c>
      <c r="C272" s="34">
        <v>34216</v>
      </c>
      <c r="D272" s="43">
        <v>317128.11294899997</v>
      </c>
    </row>
    <row r="273" spans="1:4" x14ac:dyDescent="0.3">
      <c r="A273" s="7">
        <v>2021137400</v>
      </c>
      <c r="B273" s="20" t="s">
        <v>283</v>
      </c>
      <c r="C273" s="34">
        <v>17550</v>
      </c>
      <c r="D273" s="44">
        <v>181384.16399999999</v>
      </c>
    </row>
    <row r="274" spans="1:4" x14ac:dyDescent="0.3">
      <c r="A274" s="5">
        <v>2021129300</v>
      </c>
      <c r="B274" s="21" t="s">
        <v>284</v>
      </c>
      <c r="C274" s="34">
        <v>21308</v>
      </c>
      <c r="D274" s="43">
        <v>186419.56956</v>
      </c>
    </row>
    <row r="275" spans="1:4" x14ac:dyDescent="0.3">
      <c r="A275" s="7">
        <v>2025500300</v>
      </c>
      <c r="B275" s="20" t="s">
        <v>285</v>
      </c>
      <c r="C275" s="34">
        <v>38080</v>
      </c>
      <c r="D275" s="44">
        <v>456018.51399999997</v>
      </c>
    </row>
    <row r="276" spans="1:4" x14ac:dyDescent="0.3">
      <c r="A276" s="5">
        <v>2021130800</v>
      </c>
      <c r="B276" s="21" t="s">
        <v>286</v>
      </c>
      <c r="C276" s="34">
        <v>42901</v>
      </c>
      <c r="D276" s="43">
        <v>371151.70996199996</v>
      </c>
    </row>
    <row r="277" spans="1:4" x14ac:dyDescent="0.3">
      <c r="A277" s="7">
        <v>2021138400</v>
      </c>
      <c r="B277" s="20" t="s">
        <v>287</v>
      </c>
      <c r="C277" s="34">
        <v>26521</v>
      </c>
      <c r="D277" s="44">
        <v>291394.66067800001</v>
      </c>
    </row>
    <row r="278" spans="1:4" x14ac:dyDescent="0.3">
      <c r="A278" s="7">
        <v>2021138100</v>
      </c>
      <c r="B278" s="23" t="s">
        <v>288</v>
      </c>
      <c r="C278" s="34">
        <f>23340+9600</f>
        <v>32940</v>
      </c>
      <c r="D278" s="44">
        <v>301740.94080000004</v>
      </c>
    </row>
    <row r="279" spans="1:4" x14ac:dyDescent="0.3">
      <c r="A279" s="7">
        <v>2021137700</v>
      </c>
      <c r="B279" s="20" t="s">
        <v>289</v>
      </c>
      <c r="C279" s="34">
        <v>49847</v>
      </c>
      <c r="D279" s="44">
        <v>504165.31883199996</v>
      </c>
    </row>
    <row r="280" spans="1:4" x14ac:dyDescent="0.3">
      <c r="A280" s="7">
        <v>2021137300</v>
      </c>
      <c r="B280" s="21" t="s">
        <v>290</v>
      </c>
      <c r="C280" s="34">
        <v>28014</v>
      </c>
      <c r="D280" s="44">
        <v>302308.26316999999</v>
      </c>
    </row>
    <row r="281" spans="1:4" x14ac:dyDescent="0.3">
      <c r="A281" s="5">
        <v>2021131900</v>
      </c>
      <c r="B281" s="21" t="s">
        <v>291</v>
      </c>
      <c r="C281" s="34">
        <v>24549</v>
      </c>
      <c r="D281" s="43">
        <v>212090.63897299999</v>
      </c>
    </row>
    <row r="282" spans="1:4" x14ac:dyDescent="0.3">
      <c r="A282" s="7">
        <v>2021132300</v>
      </c>
      <c r="B282" s="20" t="s">
        <v>292</v>
      </c>
      <c r="C282" s="34">
        <v>3408</v>
      </c>
      <c r="D282" s="44">
        <v>29593.930320000003</v>
      </c>
    </row>
    <row r="283" spans="1:4" x14ac:dyDescent="0.3">
      <c r="A283" s="5">
        <v>2021134300</v>
      </c>
      <c r="B283" s="20" t="s">
        <v>293</v>
      </c>
      <c r="C283" s="34">
        <v>33729</v>
      </c>
      <c r="D283" s="43">
        <v>291311.52296899998</v>
      </c>
    </row>
    <row r="284" spans="1:4" x14ac:dyDescent="0.3">
      <c r="A284" s="7">
        <v>2021135200</v>
      </c>
      <c r="B284" s="21" t="s">
        <v>294</v>
      </c>
      <c r="C284" s="34">
        <v>37946</v>
      </c>
      <c r="D284" s="44">
        <v>328790.70620000002</v>
      </c>
    </row>
    <row r="285" spans="1:4" x14ac:dyDescent="0.3">
      <c r="A285" s="7">
        <v>2021139900</v>
      </c>
      <c r="B285" s="20" t="s">
        <v>295</v>
      </c>
      <c r="C285" s="34">
        <v>34379</v>
      </c>
      <c r="D285" s="44">
        <v>345103.89483</v>
      </c>
    </row>
    <row r="286" spans="1:4" x14ac:dyDescent="0.3">
      <c r="A286" s="7">
        <v>2021136400</v>
      </c>
      <c r="B286" s="20" t="s">
        <v>296</v>
      </c>
      <c r="C286" s="34">
        <v>29643</v>
      </c>
      <c r="D286" s="43">
        <v>259120.32143099999</v>
      </c>
    </row>
    <row r="287" spans="1:4" x14ac:dyDescent="0.3">
      <c r="A287" s="9">
        <v>2021135800</v>
      </c>
      <c r="B287" s="20" t="s">
        <v>297</v>
      </c>
      <c r="C287" s="34">
        <v>29300</v>
      </c>
      <c r="D287" s="44">
        <v>314652.99300000002</v>
      </c>
    </row>
    <row r="288" spans="1:4" x14ac:dyDescent="0.3">
      <c r="A288" s="4">
        <v>2021201500</v>
      </c>
      <c r="B288" s="21" t="s">
        <v>298</v>
      </c>
      <c r="C288" s="34">
        <v>25202</v>
      </c>
      <c r="D288" s="44">
        <v>283154.9987155</v>
      </c>
    </row>
    <row r="289" spans="1:4" x14ac:dyDescent="0.3">
      <c r="A289" s="7">
        <v>2021201600</v>
      </c>
      <c r="B289" s="20" t="s">
        <v>299</v>
      </c>
      <c r="C289" s="34">
        <v>39960</v>
      </c>
      <c r="D289" s="44">
        <v>523475.87915700005</v>
      </c>
    </row>
    <row r="290" spans="1:4" x14ac:dyDescent="0.3">
      <c r="A290" s="7">
        <v>2021141000</v>
      </c>
      <c r="B290" s="21" t="s">
        <v>300</v>
      </c>
      <c r="C290" s="34">
        <v>30060</v>
      </c>
      <c r="D290" s="44">
        <v>288676.18997999997</v>
      </c>
    </row>
    <row r="291" spans="1:4" x14ac:dyDescent="0.3">
      <c r="A291" s="7">
        <v>2021140000</v>
      </c>
      <c r="B291" s="20" t="s">
        <v>301</v>
      </c>
      <c r="C291" s="34">
        <v>32160</v>
      </c>
      <c r="D291" s="44">
        <v>323923.28466</v>
      </c>
    </row>
    <row r="292" spans="1:4" x14ac:dyDescent="0.3">
      <c r="A292" s="7">
        <v>2021142000</v>
      </c>
      <c r="B292" s="23" t="s">
        <v>302</v>
      </c>
      <c r="C292" s="34">
        <v>16633</v>
      </c>
      <c r="D292" s="44">
        <v>172986.05</v>
      </c>
    </row>
    <row r="293" spans="1:4" x14ac:dyDescent="0.3">
      <c r="A293" s="7">
        <v>2021500900</v>
      </c>
      <c r="B293" s="20" t="s">
        <v>303</v>
      </c>
      <c r="C293" s="34">
        <v>28800</v>
      </c>
      <c r="D293" s="44">
        <v>426240</v>
      </c>
    </row>
    <row r="294" spans="1:4" x14ac:dyDescent="0.3">
      <c r="A294" s="7">
        <v>2021201700</v>
      </c>
      <c r="B294" s="21" t="s">
        <v>304</v>
      </c>
      <c r="C294" s="34">
        <v>38509</v>
      </c>
      <c r="D294" s="44">
        <v>524942.18400000001</v>
      </c>
    </row>
    <row r="295" spans="1:4" x14ac:dyDescent="0.3">
      <c r="A295" s="7">
        <v>2022102300</v>
      </c>
      <c r="B295" s="20" t="s">
        <v>305</v>
      </c>
      <c r="C295" s="34">
        <v>35720</v>
      </c>
      <c r="D295" s="44">
        <v>375435.42881000001</v>
      </c>
    </row>
    <row r="296" spans="1:4" x14ac:dyDescent="0.3">
      <c r="A296" s="7">
        <v>2021108200</v>
      </c>
      <c r="B296" s="21" t="s">
        <v>306</v>
      </c>
      <c r="C296" s="34">
        <v>32280</v>
      </c>
      <c r="D296" s="44">
        <v>343065.0612</v>
      </c>
    </row>
    <row r="297" spans="1:4" x14ac:dyDescent="0.3">
      <c r="A297" s="7">
        <v>2021400500</v>
      </c>
      <c r="B297" s="20" t="s">
        <v>307</v>
      </c>
      <c r="C297" s="34">
        <v>23200</v>
      </c>
      <c r="D297" s="44">
        <v>362437.755</v>
      </c>
    </row>
    <row r="298" spans="1:4" x14ac:dyDescent="0.3">
      <c r="A298" s="6">
        <v>2021136600</v>
      </c>
      <c r="B298" s="21" t="s">
        <v>308</v>
      </c>
      <c r="C298" s="34">
        <v>26988</v>
      </c>
      <c r="D298" s="44">
        <v>247671.03504000002</v>
      </c>
    </row>
    <row r="299" spans="1:4" x14ac:dyDescent="0.3">
      <c r="A299" s="7">
        <v>2021501000</v>
      </c>
      <c r="B299" s="20" t="s">
        <v>309</v>
      </c>
      <c r="C299" s="34">
        <f>8761+23113</f>
        <v>31874</v>
      </c>
      <c r="D299" s="44">
        <v>442235.30301600002</v>
      </c>
    </row>
    <row r="300" spans="1:4" x14ac:dyDescent="0.3">
      <c r="A300" s="9">
        <v>2021136800</v>
      </c>
      <c r="B300" s="21" t="s">
        <v>310</v>
      </c>
      <c r="C300" s="34">
        <v>28511</v>
      </c>
      <c r="D300" s="43">
        <v>297284.18292700005</v>
      </c>
    </row>
    <row r="301" spans="1:4" x14ac:dyDescent="0.3">
      <c r="A301" s="7">
        <v>2021501100</v>
      </c>
      <c r="B301" s="20" t="s">
        <v>311</v>
      </c>
      <c r="C301" s="34">
        <f>31154+8066+6401</f>
        <v>45621</v>
      </c>
      <c r="D301" s="44">
        <v>480633.38483399997</v>
      </c>
    </row>
    <row r="302" spans="1:4" x14ac:dyDescent="0.3">
      <c r="A302" s="7">
        <v>2021501200</v>
      </c>
      <c r="B302" s="23" t="s">
        <v>312</v>
      </c>
      <c r="C302" s="34">
        <v>24390</v>
      </c>
      <c r="D302" s="44">
        <v>321930.81</v>
      </c>
    </row>
    <row r="303" spans="1:4" x14ac:dyDescent="0.3">
      <c r="A303" s="7">
        <v>2021136900</v>
      </c>
      <c r="B303" s="21" t="s">
        <v>313</v>
      </c>
      <c r="C303" s="34">
        <v>36592</v>
      </c>
      <c r="D303" s="43">
        <v>318878.33173899999</v>
      </c>
    </row>
    <row r="304" spans="1:4" x14ac:dyDescent="0.3">
      <c r="A304" s="7">
        <v>2021401200</v>
      </c>
      <c r="B304" s="21" t="s">
        <v>314</v>
      </c>
      <c r="C304" s="34">
        <v>27245.360000000001</v>
      </c>
      <c r="D304" s="44">
        <v>326482.78900000005</v>
      </c>
    </row>
    <row r="305" spans="1:4" x14ac:dyDescent="0.3">
      <c r="A305" s="7">
        <v>2021137600</v>
      </c>
      <c r="B305" s="21" t="s">
        <v>315</v>
      </c>
      <c r="C305" s="34">
        <v>30</v>
      </c>
      <c r="D305" s="44">
        <v>330.09000000000003</v>
      </c>
    </row>
    <row r="306" spans="1:4" x14ac:dyDescent="0.3">
      <c r="A306" s="16">
        <v>2021139100</v>
      </c>
      <c r="B306" s="21" t="s">
        <v>316</v>
      </c>
      <c r="C306" s="34">
        <v>29795</v>
      </c>
      <c r="D306" s="43">
        <v>318647.59215699998</v>
      </c>
    </row>
    <row r="307" spans="1:4" x14ac:dyDescent="0.3">
      <c r="A307" s="7">
        <v>2021146100</v>
      </c>
      <c r="B307" s="20" t="s">
        <v>317</v>
      </c>
      <c r="C307" s="34">
        <v>37637</v>
      </c>
      <c r="D307" s="44">
        <v>398327.79892999999</v>
      </c>
    </row>
    <row r="308" spans="1:4" x14ac:dyDescent="0.3">
      <c r="A308" s="13">
        <v>2025400500</v>
      </c>
      <c r="B308" s="21" t="s">
        <v>318</v>
      </c>
      <c r="C308" s="34">
        <v>26201</v>
      </c>
      <c r="D308" s="44">
        <v>266258.57370000001</v>
      </c>
    </row>
    <row r="309" spans="1:4" x14ac:dyDescent="0.3">
      <c r="A309" s="7">
        <v>2021145000</v>
      </c>
      <c r="B309" s="24" t="s">
        <v>319</v>
      </c>
      <c r="C309" s="35">
        <v>44738</v>
      </c>
      <c r="D309" s="44">
        <v>468560.42351559992</v>
      </c>
    </row>
    <row r="310" spans="1:4" x14ac:dyDescent="0.3">
      <c r="A310" s="7">
        <v>2021501500</v>
      </c>
      <c r="B310" s="23" t="s">
        <v>320</v>
      </c>
      <c r="C310" s="34">
        <v>34752.660000000003</v>
      </c>
      <c r="D310" s="44">
        <v>522792.13238222408</v>
      </c>
    </row>
    <row r="311" spans="1:4" x14ac:dyDescent="0.3">
      <c r="A311" s="9">
        <v>2021108100</v>
      </c>
      <c r="B311" s="20" t="s">
        <v>321</v>
      </c>
      <c r="C311" s="34">
        <v>26475</v>
      </c>
      <c r="D311" s="43">
        <v>298959.17149719998</v>
      </c>
    </row>
    <row r="312" spans="1:4" x14ac:dyDescent="0.3">
      <c r="A312" s="7">
        <v>2021146200</v>
      </c>
      <c r="B312" s="23" t="s">
        <v>322</v>
      </c>
      <c r="C312" s="34">
        <v>17430</v>
      </c>
      <c r="D312" s="44">
        <v>193686.53554800001</v>
      </c>
    </row>
    <row r="313" spans="1:4" x14ac:dyDescent="0.3">
      <c r="A313" s="7">
        <v>2021146300</v>
      </c>
      <c r="B313" s="20" t="s">
        <v>323</v>
      </c>
      <c r="C313" s="34">
        <v>32794</v>
      </c>
      <c r="D313" s="44">
        <v>378825.10524600005</v>
      </c>
    </row>
    <row r="314" spans="1:4" x14ac:dyDescent="0.3">
      <c r="A314" s="18">
        <v>2025400600</v>
      </c>
      <c r="B314" s="21" t="s">
        <v>324</v>
      </c>
      <c r="C314" s="34">
        <v>28820</v>
      </c>
      <c r="D314" s="44">
        <v>294168.21126000001</v>
      </c>
    </row>
    <row r="315" spans="1:4" x14ac:dyDescent="0.3">
      <c r="A315" s="7">
        <v>2021137000</v>
      </c>
      <c r="B315" s="20" t="s">
        <v>325</v>
      </c>
      <c r="C315" s="34">
        <v>40320</v>
      </c>
      <c r="D315" s="43">
        <v>351356.09136000002</v>
      </c>
    </row>
    <row r="316" spans="1:4" x14ac:dyDescent="0.3">
      <c r="A316" s="7">
        <v>2021201900</v>
      </c>
      <c r="B316" s="21" t="s">
        <v>326</v>
      </c>
      <c r="C316" s="34">
        <v>32753</v>
      </c>
      <c r="D316" s="44">
        <v>352184.88002499996</v>
      </c>
    </row>
    <row r="317" spans="1:4" x14ac:dyDescent="0.3">
      <c r="A317" s="9">
        <v>2021136700</v>
      </c>
      <c r="B317" s="20" t="s">
        <v>327</v>
      </c>
      <c r="C317" s="34">
        <v>35984</v>
      </c>
      <c r="D317" s="43">
        <v>347690.36944500002</v>
      </c>
    </row>
    <row r="318" spans="1:4" x14ac:dyDescent="0.3">
      <c r="A318" s="7">
        <v>2021400700</v>
      </c>
      <c r="B318" s="21" t="s">
        <v>328</v>
      </c>
      <c r="C318" s="34">
        <v>27282</v>
      </c>
      <c r="D318" s="44">
        <v>279362.3457828</v>
      </c>
    </row>
    <row r="319" spans="1:4" x14ac:dyDescent="0.3">
      <c r="A319" s="7">
        <v>2022102400</v>
      </c>
      <c r="B319" s="20" t="s">
        <v>329</v>
      </c>
      <c r="C319" s="34">
        <v>29459</v>
      </c>
      <c r="D319" s="44">
        <v>302356.93756799994</v>
      </c>
    </row>
    <row r="320" spans="1:4" x14ac:dyDescent="0.3">
      <c r="A320" s="7">
        <v>2021501400</v>
      </c>
      <c r="B320" s="21" t="s">
        <v>330</v>
      </c>
      <c r="C320" s="34">
        <v>32408</v>
      </c>
      <c r="D320" s="44">
        <v>347022.691506</v>
      </c>
    </row>
    <row r="321" spans="1:4" x14ac:dyDescent="0.3">
      <c r="A321" s="5">
        <v>2021138200</v>
      </c>
      <c r="B321" s="21" t="s">
        <v>331</v>
      </c>
      <c r="C321" s="34">
        <v>37212</v>
      </c>
      <c r="D321" s="43">
        <v>316950.56743200001</v>
      </c>
    </row>
    <row r="322" spans="1:4" x14ac:dyDescent="0.3">
      <c r="A322" s="7">
        <v>2021138300</v>
      </c>
      <c r="B322" s="21" t="s">
        <v>332</v>
      </c>
      <c r="C322" s="34">
        <v>30609</v>
      </c>
      <c r="D322" s="43">
        <v>266291.31145300006</v>
      </c>
    </row>
    <row r="323" spans="1:4" x14ac:dyDescent="0.3">
      <c r="A323" s="7">
        <v>2021138800</v>
      </c>
      <c r="B323" s="21" t="s">
        <v>333</v>
      </c>
      <c r="C323" s="34">
        <v>29256</v>
      </c>
      <c r="D323" s="43">
        <v>279658.41094600002</v>
      </c>
    </row>
    <row r="324" spans="1:4" x14ac:dyDescent="0.3">
      <c r="A324" s="7">
        <v>2022300100</v>
      </c>
      <c r="B324" s="23" t="s">
        <v>334</v>
      </c>
      <c r="C324" s="34">
        <v>26192</v>
      </c>
      <c r="D324" s="44">
        <v>350448.96</v>
      </c>
    </row>
    <row r="325" spans="1:4" x14ac:dyDescent="0.3">
      <c r="A325" s="7">
        <v>2021502200</v>
      </c>
      <c r="B325" s="20" t="s">
        <v>335</v>
      </c>
      <c r="C325" s="34">
        <v>23400</v>
      </c>
      <c r="D325" s="44">
        <v>310447.46879999997</v>
      </c>
    </row>
    <row r="326" spans="1:4" x14ac:dyDescent="0.3">
      <c r="A326" s="7">
        <v>2022300200</v>
      </c>
      <c r="B326" s="21" t="s">
        <v>336</v>
      </c>
      <c r="C326" s="34">
        <v>40515</v>
      </c>
      <c r="D326" s="44">
        <v>412049.42167809996</v>
      </c>
    </row>
    <row r="327" spans="1:4" x14ac:dyDescent="0.3">
      <c r="A327" s="5">
        <v>2021139000</v>
      </c>
      <c r="B327" s="21" t="s">
        <v>337</v>
      </c>
      <c r="C327" s="34">
        <v>36604</v>
      </c>
      <c r="D327" s="43">
        <v>308474.711282</v>
      </c>
    </row>
    <row r="328" spans="1:4" x14ac:dyDescent="0.3">
      <c r="A328" s="9">
        <v>2021147000</v>
      </c>
      <c r="B328" s="21" t="s">
        <v>338</v>
      </c>
      <c r="C328" s="34">
        <v>24420</v>
      </c>
      <c r="D328" s="44">
        <v>238452.24924800001</v>
      </c>
    </row>
    <row r="329" spans="1:4" x14ac:dyDescent="0.3">
      <c r="A329" s="5">
        <v>2021139700</v>
      </c>
      <c r="B329" s="21" t="s">
        <v>339</v>
      </c>
      <c r="C329" s="34">
        <v>41586</v>
      </c>
      <c r="D329" s="43">
        <v>354014.28329699999</v>
      </c>
    </row>
    <row r="330" spans="1:4" x14ac:dyDescent="0.3">
      <c r="A330" s="7">
        <v>2021147900</v>
      </c>
      <c r="B330" s="21" t="s">
        <v>340</v>
      </c>
      <c r="C330" s="34">
        <v>11317</v>
      </c>
      <c r="D330" s="44">
        <v>123730.92</v>
      </c>
    </row>
    <row r="331" spans="1:4" x14ac:dyDescent="0.3">
      <c r="A331" s="7">
        <v>2021147300</v>
      </c>
      <c r="B331" s="20" t="s">
        <v>341</v>
      </c>
      <c r="C331" s="34">
        <v>23440</v>
      </c>
      <c r="D331" s="44">
        <v>243834.83439999999</v>
      </c>
    </row>
    <row r="332" spans="1:4" x14ac:dyDescent="0.3">
      <c r="A332" s="7">
        <v>2021143000</v>
      </c>
      <c r="B332" s="21" t="s">
        <v>342</v>
      </c>
      <c r="C332" s="34">
        <v>28592</v>
      </c>
      <c r="D332" s="43">
        <v>251468.552</v>
      </c>
    </row>
    <row r="333" spans="1:4" x14ac:dyDescent="0.3">
      <c r="A333" s="7">
        <v>2021502000</v>
      </c>
      <c r="B333" s="20" t="s">
        <v>343</v>
      </c>
      <c r="C333" s="34">
        <v>31350</v>
      </c>
      <c r="D333" s="44">
        <v>334665.98384999996</v>
      </c>
    </row>
    <row r="334" spans="1:4" x14ac:dyDescent="0.3">
      <c r="A334" s="19">
        <v>2022800800</v>
      </c>
      <c r="B334" s="21" t="s">
        <v>344</v>
      </c>
      <c r="C334" s="34">
        <v>41201</v>
      </c>
      <c r="D334" s="44">
        <v>495854.69133179996</v>
      </c>
    </row>
    <row r="335" spans="1:4" x14ac:dyDescent="0.3">
      <c r="A335" s="5">
        <v>2021146400</v>
      </c>
      <c r="B335" s="20" t="s">
        <v>345</v>
      </c>
      <c r="C335" s="34">
        <v>40092</v>
      </c>
      <c r="D335" s="43">
        <v>341746.49733600003</v>
      </c>
    </row>
    <row r="336" spans="1:4" x14ac:dyDescent="0.3">
      <c r="A336" s="15">
        <v>2022800700</v>
      </c>
      <c r="B336" s="21" t="s">
        <v>346</v>
      </c>
      <c r="C336" s="34">
        <v>22603</v>
      </c>
      <c r="D336" s="44">
        <v>268052.02840499999</v>
      </c>
    </row>
    <row r="337" spans="1:4" x14ac:dyDescent="0.3">
      <c r="A337" s="7">
        <v>2021148700</v>
      </c>
      <c r="B337" s="24" t="s">
        <v>347</v>
      </c>
      <c r="C337" s="34">
        <v>13379</v>
      </c>
      <c r="D337" s="44">
        <v>176648.55617999999</v>
      </c>
    </row>
    <row r="338" spans="1:4" x14ac:dyDescent="0.3">
      <c r="A338" s="7">
        <v>2021202000</v>
      </c>
      <c r="B338" s="23" t="s">
        <v>348</v>
      </c>
      <c r="C338" s="34">
        <v>31320</v>
      </c>
      <c r="D338" s="44">
        <v>402249.76926480001</v>
      </c>
    </row>
    <row r="339" spans="1:4" x14ac:dyDescent="0.3">
      <c r="A339" s="7">
        <v>2021201800</v>
      </c>
      <c r="B339" s="20" t="s">
        <v>349</v>
      </c>
      <c r="C339" s="34">
        <v>34207</v>
      </c>
      <c r="D339" s="44">
        <v>365551.84278800001</v>
      </c>
    </row>
    <row r="340" spans="1:4" x14ac:dyDescent="0.3">
      <c r="A340" s="7">
        <v>2021401400</v>
      </c>
      <c r="B340" s="21" t="s">
        <v>350</v>
      </c>
      <c r="C340" s="34">
        <v>28353.75</v>
      </c>
      <c r="D340" s="44">
        <v>294505.29757500003</v>
      </c>
    </row>
    <row r="341" spans="1:4" x14ac:dyDescent="0.3">
      <c r="A341" s="7">
        <v>2021202300</v>
      </c>
      <c r="B341" s="20" t="s">
        <v>351</v>
      </c>
      <c r="C341" s="34">
        <v>28776</v>
      </c>
      <c r="D341" s="44">
        <v>373325.09068799997</v>
      </c>
    </row>
    <row r="342" spans="1:4" x14ac:dyDescent="0.3">
      <c r="A342" s="7">
        <v>2021148200</v>
      </c>
      <c r="B342" s="21" t="s">
        <v>352</v>
      </c>
      <c r="C342" s="34">
        <v>26845</v>
      </c>
      <c r="D342" s="44">
        <v>285967.22154</v>
      </c>
    </row>
    <row r="343" spans="1:4" x14ac:dyDescent="0.3">
      <c r="A343" s="7">
        <v>2021401300</v>
      </c>
      <c r="B343" s="20" t="s">
        <v>353</v>
      </c>
      <c r="C343" s="34">
        <v>31733</v>
      </c>
      <c r="D343" s="44">
        <v>391258.95223499998</v>
      </c>
    </row>
    <row r="344" spans="1:4" x14ac:dyDescent="0.3">
      <c r="A344" s="7">
        <v>2021139600</v>
      </c>
      <c r="B344" s="25" t="s">
        <v>354</v>
      </c>
      <c r="C344" s="34">
        <v>60960</v>
      </c>
      <c r="D344" s="44">
        <v>556043.59199999995</v>
      </c>
    </row>
    <row r="345" spans="1:4" x14ac:dyDescent="0.3">
      <c r="A345" s="7">
        <v>2021108300</v>
      </c>
      <c r="B345" s="20" t="s">
        <v>355</v>
      </c>
      <c r="C345" s="34">
        <v>37744</v>
      </c>
      <c r="D345" s="44">
        <v>396917.90096</v>
      </c>
    </row>
    <row r="346" spans="1:4" x14ac:dyDescent="0.3">
      <c r="A346" s="7">
        <v>2021147200</v>
      </c>
      <c r="B346" s="23" t="s">
        <v>356</v>
      </c>
      <c r="C346" s="34"/>
      <c r="D346" s="44">
        <v>0</v>
      </c>
    </row>
    <row r="347" spans="1:4" x14ac:dyDescent="0.3">
      <c r="A347" s="7">
        <v>2021501300</v>
      </c>
      <c r="B347" s="20" t="s">
        <v>357</v>
      </c>
      <c r="C347" s="34">
        <v>32053</v>
      </c>
      <c r="D347" s="44">
        <v>343265.59265300003</v>
      </c>
    </row>
    <row r="348" spans="1:4" x14ac:dyDescent="0.3">
      <c r="A348" s="7">
        <v>2021146500</v>
      </c>
      <c r="B348" s="20" t="s">
        <v>358</v>
      </c>
      <c r="C348" s="34">
        <v>31104</v>
      </c>
      <c r="D348" s="43">
        <v>270547.04864400002</v>
      </c>
    </row>
    <row r="349" spans="1:4" x14ac:dyDescent="0.3">
      <c r="A349" s="7">
        <v>2021500800</v>
      </c>
      <c r="B349" s="20" t="s">
        <v>359</v>
      </c>
      <c r="C349" s="34">
        <v>32882</v>
      </c>
      <c r="D349" s="44">
        <v>355894.71353199997</v>
      </c>
    </row>
    <row r="350" spans="1:4" x14ac:dyDescent="0.3">
      <c r="A350" s="7">
        <v>2021147100</v>
      </c>
      <c r="B350" s="21" t="s">
        <v>360</v>
      </c>
      <c r="C350" s="34">
        <v>28533</v>
      </c>
      <c r="D350" s="44">
        <v>326508.57915000001</v>
      </c>
    </row>
    <row r="351" spans="1:4" x14ac:dyDescent="0.3">
      <c r="A351" s="7">
        <v>2021148900</v>
      </c>
      <c r="B351" s="20" t="s">
        <v>361</v>
      </c>
      <c r="C351" s="34">
        <v>23040</v>
      </c>
      <c r="D351" s="44">
        <v>194597.568</v>
      </c>
    </row>
    <row r="352" spans="1:4" x14ac:dyDescent="0.3">
      <c r="A352" s="7">
        <v>2022400300</v>
      </c>
      <c r="B352" s="21" t="s">
        <v>362</v>
      </c>
      <c r="C352" s="34">
        <v>34704</v>
      </c>
      <c r="D352" s="44">
        <v>372023.33708999999</v>
      </c>
    </row>
    <row r="353" spans="1:4" x14ac:dyDescent="0.3">
      <c r="A353" s="7">
        <v>2021147400</v>
      </c>
      <c r="B353" s="20" t="s">
        <v>363</v>
      </c>
      <c r="C353" s="34">
        <v>33640</v>
      </c>
      <c r="D353" s="44">
        <v>419073.9472</v>
      </c>
    </row>
    <row r="354" spans="1:4" x14ac:dyDescent="0.3">
      <c r="A354" s="7">
        <v>2021301900</v>
      </c>
      <c r="B354" s="21" t="s">
        <v>364</v>
      </c>
      <c r="C354" s="34">
        <v>29254</v>
      </c>
      <c r="D354" s="44">
        <v>311269.62866800005</v>
      </c>
    </row>
    <row r="355" spans="1:4" x14ac:dyDescent="0.3">
      <c r="A355" s="7">
        <v>2021301700</v>
      </c>
      <c r="B355" s="20" t="s">
        <v>365</v>
      </c>
      <c r="C355" s="34">
        <v>36007</v>
      </c>
      <c r="D355" s="44">
        <v>398776.83559999999</v>
      </c>
    </row>
    <row r="356" spans="1:4" x14ac:dyDescent="0.3">
      <c r="A356" s="7">
        <v>2021501600</v>
      </c>
      <c r="B356" s="21" t="s">
        <v>366</v>
      </c>
      <c r="C356" s="34">
        <v>33367</v>
      </c>
      <c r="D356" s="44">
        <v>355965.49573000002</v>
      </c>
    </row>
    <row r="357" spans="1:4" x14ac:dyDescent="0.3">
      <c r="A357" s="7">
        <v>2021149300</v>
      </c>
      <c r="B357" s="20" t="s">
        <v>367</v>
      </c>
      <c r="C357" s="34">
        <v>26934</v>
      </c>
      <c r="D357" s="44">
        <v>269551.43190000003</v>
      </c>
    </row>
    <row r="358" spans="1:4" x14ac:dyDescent="0.3">
      <c r="A358" s="7">
        <v>2021202100</v>
      </c>
      <c r="B358" s="21" t="s">
        <v>368</v>
      </c>
      <c r="C358" s="34">
        <v>39180.400000000001</v>
      </c>
      <c r="D358" s="44">
        <v>520868.33448000008</v>
      </c>
    </row>
    <row r="359" spans="1:4" x14ac:dyDescent="0.3">
      <c r="A359" s="7">
        <v>2021146600</v>
      </c>
      <c r="B359" s="21" t="s">
        <v>369</v>
      </c>
      <c r="C359" s="34">
        <v>23684</v>
      </c>
      <c r="D359" s="43">
        <v>206211.41094</v>
      </c>
    </row>
    <row r="360" spans="1:4" x14ac:dyDescent="0.3">
      <c r="A360" s="7">
        <v>2021147500</v>
      </c>
      <c r="B360" s="20" t="s">
        <v>370</v>
      </c>
      <c r="C360" s="34">
        <v>16973</v>
      </c>
      <c r="D360" s="43">
        <v>148089.68259999997</v>
      </c>
    </row>
    <row r="361" spans="1:4" x14ac:dyDescent="0.3">
      <c r="A361" s="7">
        <v>2021147700</v>
      </c>
      <c r="B361" s="26" t="s">
        <v>371</v>
      </c>
      <c r="C361" s="34">
        <v>10774</v>
      </c>
      <c r="D361" s="44">
        <v>93353.477800000008</v>
      </c>
    </row>
    <row r="362" spans="1:4" x14ac:dyDescent="0.3">
      <c r="A362" s="7">
        <v>2021147800</v>
      </c>
      <c r="B362" s="20" t="s">
        <v>372</v>
      </c>
      <c r="C362" s="34">
        <v>15078</v>
      </c>
      <c r="D362" s="43">
        <v>131930.4762</v>
      </c>
    </row>
    <row r="363" spans="1:4" x14ac:dyDescent="0.3">
      <c r="A363" s="7">
        <v>2021139200</v>
      </c>
      <c r="B363" s="20" t="s">
        <v>373</v>
      </c>
      <c r="C363" s="34">
        <v>32487</v>
      </c>
      <c r="D363" s="43">
        <v>326124.42181800003</v>
      </c>
    </row>
    <row r="364" spans="1:4" x14ac:dyDescent="0.3">
      <c r="A364" s="7">
        <v>2021202900</v>
      </c>
      <c r="B364" s="21" t="s">
        <v>374</v>
      </c>
      <c r="C364" s="34">
        <v>26671</v>
      </c>
      <c r="D364" s="44">
        <v>286553.21184599999</v>
      </c>
    </row>
    <row r="365" spans="1:4" x14ac:dyDescent="0.3">
      <c r="A365" s="7">
        <v>2021148000</v>
      </c>
      <c r="B365" s="21" t="s">
        <v>375</v>
      </c>
      <c r="C365" s="34">
        <v>16025</v>
      </c>
      <c r="D365" s="43">
        <v>139894.85675599999</v>
      </c>
    </row>
    <row r="366" spans="1:4" x14ac:dyDescent="0.3">
      <c r="A366" s="7">
        <v>2021202800</v>
      </c>
      <c r="B366" s="20" t="s">
        <v>376</v>
      </c>
      <c r="C366" s="34">
        <v>40411</v>
      </c>
      <c r="D366" s="44">
        <v>407180.25494999997</v>
      </c>
    </row>
    <row r="367" spans="1:4" x14ac:dyDescent="0.3">
      <c r="A367" s="7">
        <v>2021148500</v>
      </c>
      <c r="B367" s="20" t="s">
        <v>377</v>
      </c>
      <c r="C367" s="34">
        <v>13753</v>
      </c>
      <c r="D367" s="43">
        <v>120351.77776300001</v>
      </c>
    </row>
    <row r="368" spans="1:4" x14ac:dyDescent="0.3">
      <c r="A368" s="7">
        <v>2021146700</v>
      </c>
      <c r="B368" s="24" t="s">
        <v>378</v>
      </c>
      <c r="C368" s="34">
        <v>27570</v>
      </c>
      <c r="D368" s="44">
        <v>329877.80699999997</v>
      </c>
    </row>
    <row r="369" spans="1:4" x14ac:dyDescent="0.3">
      <c r="A369" s="7">
        <v>2021148600</v>
      </c>
      <c r="B369" s="21" t="s">
        <v>379</v>
      </c>
      <c r="C369" s="34">
        <v>12876</v>
      </c>
      <c r="D369" s="43">
        <v>112694.98570800001</v>
      </c>
    </row>
    <row r="370" spans="1:4" x14ac:dyDescent="0.3">
      <c r="A370" s="7">
        <v>2021149200</v>
      </c>
      <c r="B370" s="20" t="s">
        <v>380</v>
      </c>
      <c r="C370" s="34">
        <v>0</v>
      </c>
      <c r="D370" s="44">
        <v>0</v>
      </c>
    </row>
    <row r="371" spans="1:4" x14ac:dyDescent="0.3">
      <c r="A371" s="7">
        <v>2021149400</v>
      </c>
      <c r="B371" s="23" t="s">
        <v>381</v>
      </c>
      <c r="C371" s="34">
        <v>39240</v>
      </c>
      <c r="D371" s="44">
        <v>545743.62947699998</v>
      </c>
    </row>
    <row r="372" spans="1:4" x14ac:dyDescent="0.3">
      <c r="A372" s="7">
        <v>2021202400</v>
      </c>
      <c r="B372" s="20" t="s">
        <v>382</v>
      </c>
      <c r="C372" s="34"/>
      <c r="D372" s="44">
        <v>0</v>
      </c>
    </row>
    <row r="373" spans="1:4" x14ac:dyDescent="0.3">
      <c r="A373" s="11" t="e">
        <v>#N/A</v>
      </c>
      <c r="B373" s="27" t="s">
        <v>383</v>
      </c>
      <c r="C373" s="34"/>
      <c r="D373" s="44">
        <v>0</v>
      </c>
    </row>
    <row r="374" spans="1:4" x14ac:dyDescent="0.3">
      <c r="A374" s="7">
        <v>2021301800</v>
      </c>
      <c r="B374" s="20" t="s">
        <v>384</v>
      </c>
      <c r="C374" s="34"/>
      <c r="D374" s="44">
        <v>0</v>
      </c>
    </row>
    <row r="375" spans="1:4" x14ac:dyDescent="0.3">
      <c r="A375" s="7">
        <v>2021150500</v>
      </c>
      <c r="B375" s="21" t="s">
        <v>385</v>
      </c>
      <c r="C375" s="34"/>
      <c r="D375" s="44">
        <v>0</v>
      </c>
    </row>
    <row r="376" spans="1:4" x14ac:dyDescent="0.3">
      <c r="A376" s="15">
        <v>2021149100</v>
      </c>
      <c r="B376" s="21" t="s">
        <v>386</v>
      </c>
      <c r="C376" s="34">
        <v>24996</v>
      </c>
      <c r="D376" s="43">
        <v>254166.81195600002</v>
      </c>
    </row>
    <row r="377" spans="1:4" x14ac:dyDescent="0.3">
      <c r="A377" s="7">
        <v>2021202500</v>
      </c>
      <c r="B377" s="20" t="s">
        <v>387</v>
      </c>
      <c r="C377" s="34">
        <v>16560</v>
      </c>
      <c r="D377" s="44">
        <v>257839.2</v>
      </c>
    </row>
    <row r="378" spans="1:4" x14ac:dyDescent="0.3">
      <c r="A378" s="7">
        <v>2021149000</v>
      </c>
      <c r="B378" s="21" t="s">
        <v>388</v>
      </c>
      <c r="C378" s="34">
        <v>21764</v>
      </c>
      <c r="D378" s="44">
        <v>198610.00109400001</v>
      </c>
    </row>
    <row r="379" spans="1:4" x14ac:dyDescent="0.3">
      <c r="A379" s="7">
        <v>2021202600</v>
      </c>
      <c r="B379" s="20" t="s">
        <v>389</v>
      </c>
      <c r="C379" s="34">
        <v>57300</v>
      </c>
      <c r="D379" s="44">
        <v>741262.98669300007</v>
      </c>
    </row>
    <row r="380" spans="1:4" x14ac:dyDescent="0.3">
      <c r="A380" s="7">
        <v>2021401700</v>
      </c>
      <c r="B380" s="23" t="s">
        <v>390</v>
      </c>
      <c r="C380" s="34"/>
      <c r="D380" s="44">
        <v>0</v>
      </c>
    </row>
    <row r="381" spans="1:4" x14ac:dyDescent="0.3">
      <c r="A381" s="7">
        <v>2022102500</v>
      </c>
      <c r="B381" s="20" t="s">
        <v>391</v>
      </c>
      <c r="C381" s="34">
        <f>23757+557</f>
        <v>24314</v>
      </c>
      <c r="D381" s="44">
        <v>310003.65999999997</v>
      </c>
    </row>
    <row r="382" spans="1:4" x14ac:dyDescent="0.3">
      <c r="A382" s="7">
        <v>2021150600</v>
      </c>
      <c r="B382" s="21" t="s">
        <v>392</v>
      </c>
      <c r="C382" s="34"/>
      <c r="D382" s="44">
        <v>0</v>
      </c>
    </row>
    <row r="383" spans="1:4" x14ac:dyDescent="0.3">
      <c r="A383" s="7">
        <v>2021401500</v>
      </c>
      <c r="B383" s="20" t="s">
        <v>393</v>
      </c>
      <c r="C383" s="34"/>
      <c r="D383" s="44">
        <v>0</v>
      </c>
    </row>
    <row r="384" spans="1:4" x14ac:dyDescent="0.3">
      <c r="A384" s="7">
        <v>2021150700</v>
      </c>
      <c r="B384" s="21" t="s">
        <v>394</v>
      </c>
      <c r="C384" s="34"/>
      <c r="D384" s="44">
        <v>0</v>
      </c>
    </row>
    <row r="385" spans="1:4" x14ac:dyDescent="0.3">
      <c r="A385" s="7">
        <v>2021150800</v>
      </c>
      <c r="B385" s="20" t="s">
        <v>395</v>
      </c>
      <c r="C385" s="34"/>
      <c r="D385" s="44">
        <v>0</v>
      </c>
    </row>
    <row r="386" spans="1:4" x14ac:dyDescent="0.3">
      <c r="A386" s="7">
        <v>2021148800</v>
      </c>
      <c r="B386" s="21" t="s">
        <v>396</v>
      </c>
      <c r="C386" s="34">
        <v>30446</v>
      </c>
      <c r="D386" s="44">
        <v>321712.53036000003</v>
      </c>
    </row>
    <row r="387" spans="1:4" x14ac:dyDescent="0.3">
      <c r="A387" s="7">
        <v>2021148100</v>
      </c>
      <c r="B387" s="20" t="s">
        <v>397</v>
      </c>
      <c r="C387" s="34">
        <v>35641.550000000003</v>
      </c>
      <c r="D387" s="44">
        <v>492050.48777150002</v>
      </c>
    </row>
    <row r="388" spans="1:4" x14ac:dyDescent="0.3">
      <c r="A388" s="7">
        <v>2022800900</v>
      </c>
      <c r="B388" s="21" t="s">
        <v>398</v>
      </c>
      <c r="C388" s="34">
        <v>27472.86</v>
      </c>
      <c r="D388" s="44">
        <v>337963.1040004</v>
      </c>
    </row>
    <row r="389" spans="1:4" x14ac:dyDescent="0.3">
      <c r="A389" s="7">
        <v>2021150900</v>
      </c>
      <c r="B389" s="20" t="s">
        <v>399</v>
      </c>
      <c r="C389" s="34"/>
      <c r="D389" s="44">
        <v>0</v>
      </c>
    </row>
    <row r="390" spans="1:4" x14ac:dyDescent="0.3">
      <c r="A390" s="7">
        <v>2021401800</v>
      </c>
      <c r="B390" s="21" t="s">
        <v>400</v>
      </c>
      <c r="C390" s="34"/>
      <c r="D390" s="44">
        <v>0</v>
      </c>
    </row>
    <row r="391" spans="1:4" x14ac:dyDescent="0.3">
      <c r="A391" s="7">
        <v>2021147600</v>
      </c>
      <c r="B391" s="20" t="s">
        <v>401</v>
      </c>
      <c r="C391" s="34"/>
      <c r="D391" s="44">
        <v>0</v>
      </c>
    </row>
    <row r="392" spans="1:4" x14ac:dyDescent="0.3">
      <c r="A392" s="7">
        <v>2021148400</v>
      </c>
      <c r="B392" s="21" t="s">
        <v>402</v>
      </c>
      <c r="C392" s="34"/>
      <c r="D392" s="44">
        <v>0</v>
      </c>
    </row>
    <row r="393" spans="1:4" x14ac:dyDescent="0.3">
      <c r="A393" s="7">
        <v>2021160900</v>
      </c>
      <c r="B393" s="20" t="s">
        <v>403</v>
      </c>
      <c r="C393" s="34"/>
      <c r="D393" s="44">
        <v>0</v>
      </c>
    </row>
    <row r="394" spans="1:4" x14ac:dyDescent="0.3">
      <c r="A394" s="7">
        <v>2021139400</v>
      </c>
      <c r="B394" s="21" t="s">
        <v>404</v>
      </c>
      <c r="C394" s="34"/>
      <c r="D394" s="44">
        <v>0</v>
      </c>
    </row>
    <row r="395" spans="1:4" x14ac:dyDescent="0.3">
      <c r="A395" s="7">
        <v>2022400100</v>
      </c>
      <c r="B395" s="20" t="s">
        <v>405</v>
      </c>
      <c r="C395" s="34"/>
      <c r="D395" s="44">
        <v>0</v>
      </c>
    </row>
    <row r="396" spans="1:4" x14ac:dyDescent="0.3">
      <c r="A396" s="7">
        <v>2022400200</v>
      </c>
      <c r="B396" s="21" t="s">
        <v>406</v>
      </c>
      <c r="C396" s="34"/>
      <c r="D396" s="44">
        <v>0</v>
      </c>
    </row>
    <row r="397" spans="1:4" x14ac:dyDescent="0.3">
      <c r="A397" s="7">
        <v>2022400400</v>
      </c>
      <c r="B397" s="20" t="s">
        <v>407</v>
      </c>
      <c r="C397" s="34"/>
      <c r="D397" s="44">
        <v>0</v>
      </c>
    </row>
    <row r="398" spans="1:4" x14ac:dyDescent="0.3">
      <c r="A398" s="7">
        <v>2022400500</v>
      </c>
      <c r="B398" s="21" t="s">
        <v>408</v>
      </c>
      <c r="C398" s="34"/>
      <c r="D398" s="44">
        <v>0</v>
      </c>
    </row>
    <row r="399" spans="1:4" x14ac:dyDescent="0.3">
      <c r="A399" s="7">
        <v>2022400600</v>
      </c>
      <c r="B399" s="20" t="s">
        <v>409</v>
      </c>
      <c r="C399" s="34"/>
      <c r="D399" s="44">
        <v>0</v>
      </c>
    </row>
    <row r="400" spans="1:4" x14ac:dyDescent="0.3">
      <c r="A400" s="7">
        <v>2021160000</v>
      </c>
      <c r="B400" s="21" t="s">
        <v>410</v>
      </c>
      <c r="C400" s="34"/>
      <c r="D400" s="44">
        <v>0</v>
      </c>
    </row>
    <row r="401" spans="1:4" x14ac:dyDescent="0.3">
      <c r="A401" s="7">
        <v>2021160100</v>
      </c>
      <c r="B401" s="20" t="s">
        <v>411</v>
      </c>
      <c r="C401" s="34"/>
      <c r="D401" s="44">
        <v>0</v>
      </c>
    </row>
    <row r="402" spans="1:4" x14ac:dyDescent="0.3">
      <c r="A402" s="7">
        <v>2021160200</v>
      </c>
      <c r="B402" s="21" t="s">
        <v>412</v>
      </c>
      <c r="C402" s="34"/>
      <c r="D402" s="44">
        <v>0</v>
      </c>
    </row>
    <row r="403" spans="1:4" x14ac:dyDescent="0.3">
      <c r="A403" s="7">
        <v>2021400900</v>
      </c>
      <c r="B403" s="20" t="s">
        <v>413</v>
      </c>
      <c r="C403" s="34"/>
      <c r="D403" s="44">
        <v>0</v>
      </c>
    </row>
    <row r="404" spans="1:4" x14ac:dyDescent="0.3">
      <c r="A404" s="7">
        <v>2021202700</v>
      </c>
      <c r="B404" s="21" t="s">
        <v>414</v>
      </c>
      <c r="C404" s="34"/>
      <c r="D404" s="44">
        <v>0</v>
      </c>
    </row>
    <row r="405" spans="1:4" x14ac:dyDescent="0.3">
      <c r="A405" s="7">
        <v>2021160300</v>
      </c>
      <c r="B405" s="20" t="s">
        <v>415</v>
      </c>
      <c r="C405" s="34"/>
      <c r="D405" s="44">
        <v>0</v>
      </c>
    </row>
    <row r="406" spans="1:4" x14ac:dyDescent="0.3">
      <c r="A406" s="7">
        <v>2021161000</v>
      </c>
      <c r="B406" s="21" t="s">
        <v>416</v>
      </c>
      <c r="C406" s="34"/>
      <c r="D406" s="44">
        <v>0</v>
      </c>
    </row>
    <row r="407" spans="1:4" x14ac:dyDescent="0.3">
      <c r="A407" s="7">
        <v>2021160400</v>
      </c>
      <c r="B407" s="20" t="s">
        <v>417</v>
      </c>
      <c r="C407" s="34"/>
      <c r="D407" s="44">
        <v>0</v>
      </c>
    </row>
    <row r="408" spans="1:4" x14ac:dyDescent="0.3">
      <c r="A408" s="7">
        <v>2021138000</v>
      </c>
      <c r="B408" s="21" t="s">
        <v>418</v>
      </c>
      <c r="C408" s="34"/>
      <c r="D408" s="44">
        <v>0</v>
      </c>
    </row>
    <row r="409" spans="1:4" x14ac:dyDescent="0.3">
      <c r="A409" s="7">
        <v>2021202200</v>
      </c>
      <c r="B409" s="20" t="s">
        <v>419</v>
      </c>
      <c r="C409" s="34"/>
      <c r="D409" s="44">
        <v>0</v>
      </c>
    </row>
    <row r="410" spans="1:4" x14ac:dyDescent="0.3">
      <c r="A410" s="7">
        <v>2022102600</v>
      </c>
      <c r="B410" s="21" t="s">
        <v>420</v>
      </c>
      <c r="C410" s="34">
        <v>31014</v>
      </c>
      <c r="D410" s="44">
        <v>423503.43766719999</v>
      </c>
    </row>
    <row r="411" spans="1:4" x14ac:dyDescent="0.3">
      <c r="A411" s="7">
        <v>2022102700</v>
      </c>
      <c r="B411" s="20" t="s">
        <v>421</v>
      </c>
      <c r="C411" s="34">
        <v>9088</v>
      </c>
      <c r="D411" s="44">
        <v>140152.963968</v>
      </c>
    </row>
    <row r="412" spans="1:4" x14ac:dyDescent="0.3">
      <c r="A412" s="7">
        <v>2021160500</v>
      </c>
      <c r="B412" s="21" t="s">
        <v>422</v>
      </c>
      <c r="C412" s="34"/>
      <c r="D412" s="44">
        <v>0</v>
      </c>
    </row>
    <row r="413" spans="1:4" x14ac:dyDescent="0.3">
      <c r="A413" s="7">
        <v>2021160600</v>
      </c>
      <c r="B413" s="20" t="s">
        <v>423</v>
      </c>
      <c r="C413" s="34"/>
      <c r="D413" s="44">
        <v>0</v>
      </c>
    </row>
    <row r="414" spans="1:4" x14ac:dyDescent="0.3">
      <c r="A414" s="7">
        <v>2021400800</v>
      </c>
      <c r="B414" s="21" t="s">
        <v>424</v>
      </c>
      <c r="C414" s="34"/>
      <c r="D414" s="44">
        <v>0</v>
      </c>
    </row>
    <row r="415" spans="1:4" x14ac:dyDescent="0.3">
      <c r="A415" s="7">
        <v>2022102700</v>
      </c>
      <c r="B415" s="20" t="s">
        <v>421</v>
      </c>
      <c r="C415" s="34">
        <v>16277</v>
      </c>
      <c r="D415" s="44">
        <v>168335.377973</v>
      </c>
    </row>
    <row r="416" spans="1:4" x14ac:dyDescent="0.3">
      <c r="A416" s="7">
        <v>2022102800</v>
      </c>
      <c r="B416" s="20" t="s">
        <v>425</v>
      </c>
      <c r="C416" s="34">
        <v>13767</v>
      </c>
      <c r="D416" s="44">
        <v>142214.224139</v>
      </c>
    </row>
    <row r="417" spans="1:4" x14ac:dyDescent="0.3">
      <c r="A417" s="7">
        <v>2022102800</v>
      </c>
      <c r="B417" s="20" t="s">
        <v>425</v>
      </c>
      <c r="C417" s="34">
        <v>7239</v>
      </c>
      <c r="D417" s="44">
        <v>97080.169504500009</v>
      </c>
    </row>
    <row r="418" spans="1:4" x14ac:dyDescent="0.3">
      <c r="A418" s="7">
        <v>2022102890</v>
      </c>
      <c r="B418" s="21" t="s">
        <v>426</v>
      </c>
      <c r="C418" s="34">
        <v>407</v>
      </c>
      <c r="D418" s="44">
        <v>5679.0093800000004</v>
      </c>
    </row>
    <row r="419" spans="1:4" x14ac:dyDescent="0.3">
      <c r="A419" s="7">
        <v>2022102900</v>
      </c>
      <c r="B419" s="20" t="s">
        <v>427</v>
      </c>
      <c r="C419" s="34">
        <v>32889</v>
      </c>
      <c r="D419" s="44">
        <v>336913.10317800002</v>
      </c>
    </row>
    <row r="420" spans="1:4" x14ac:dyDescent="0.3">
      <c r="A420" s="7">
        <v>2022102900</v>
      </c>
      <c r="B420" s="20" t="s">
        <v>427</v>
      </c>
      <c r="C420" s="34">
        <v>24672</v>
      </c>
      <c r="D420" s="44">
        <v>335648.5290336</v>
      </c>
    </row>
    <row r="421" spans="1:4" x14ac:dyDescent="0.3">
      <c r="A421" s="7">
        <v>2022103300</v>
      </c>
      <c r="B421" s="20" t="s">
        <v>428</v>
      </c>
      <c r="C421" s="34">
        <v>25</v>
      </c>
      <c r="D421" s="44">
        <v>256.09617500000002</v>
      </c>
    </row>
    <row r="422" spans="1:4" x14ac:dyDescent="0.3">
      <c r="A422" s="7">
        <v>2021148300</v>
      </c>
      <c r="B422" s="21" t="s">
        <v>429</v>
      </c>
      <c r="C422" s="34"/>
      <c r="D422" s="44">
        <v>0</v>
      </c>
    </row>
    <row r="423" spans="1:4" x14ac:dyDescent="0.3">
      <c r="A423" s="7">
        <v>2021302000</v>
      </c>
      <c r="B423" s="20" t="s">
        <v>430</v>
      </c>
      <c r="C423" s="34"/>
      <c r="D423" s="44">
        <v>0</v>
      </c>
    </row>
    <row r="424" spans="1:4" x14ac:dyDescent="0.3">
      <c r="A424" s="7">
        <v>2021160700</v>
      </c>
      <c r="B424" s="21" t="s">
        <v>431</v>
      </c>
      <c r="C424" s="34"/>
      <c r="D424" s="44">
        <v>0</v>
      </c>
    </row>
    <row r="425" spans="1:4" x14ac:dyDescent="0.3">
      <c r="A425" s="7">
        <v>2021301600</v>
      </c>
      <c r="B425" s="20" t="s">
        <v>432</v>
      </c>
      <c r="C425" s="34"/>
      <c r="D425" s="44">
        <v>0</v>
      </c>
    </row>
    <row r="426" spans="1:4" x14ac:dyDescent="0.3">
      <c r="A426" s="7">
        <v>2022800200</v>
      </c>
      <c r="B426" s="21" t="s">
        <v>433</v>
      </c>
      <c r="C426" s="34"/>
      <c r="D426" s="44">
        <v>0</v>
      </c>
    </row>
    <row r="427" spans="1:4" x14ac:dyDescent="0.3">
      <c r="A427" s="7">
        <v>2022800300</v>
      </c>
      <c r="B427" s="20" t="s">
        <v>434</v>
      </c>
      <c r="C427" s="34"/>
      <c r="D427" s="44">
        <v>0</v>
      </c>
    </row>
    <row r="428" spans="1:4" x14ac:dyDescent="0.3">
      <c r="A428" s="7">
        <v>2021160800</v>
      </c>
      <c r="B428" s="21" t="s">
        <v>435</v>
      </c>
      <c r="C428" s="34"/>
      <c r="D428" s="44">
        <v>0</v>
      </c>
    </row>
    <row r="429" spans="1:4" x14ac:dyDescent="0.3">
      <c r="A429" s="7">
        <v>2022103000</v>
      </c>
      <c r="B429" s="20" t="s">
        <v>436</v>
      </c>
      <c r="C429" s="34">
        <v>586</v>
      </c>
      <c r="D429" s="44">
        <v>6008.0646199999992</v>
      </c>
    </row>
    <row r="430" spans="1:4" x14ac:dyDescent="0.3">
      <c r="A430" s="7">
        <v>2022103000</v>
      </c>
      <c r="B430" s="20" t="s">
        <v>436</v>
      </c>
      <c r="C430" s="34">
        <v>100</v>
      </c>
      <c r="D430" s="44">
        <v>1575.88</v>
      </c>
    </row>
    <row r="431" spans="1:4" x14ac:dyDescent="0.3">
      <c r="A431" s="7">
        <v>2022103300</v>
      </c>
      <c r="B431" s="20" t="s">
        <v>428</v>
      </c>
      <c r="C431" s="34">
        <v>49</v>
      </c>
      <c r="D431" s="44">
        <v>675.82995200000005</v>
      </c>
    </row>
    <row r="432" spans="1:4" x14ac:dyDescent="0.3">
      <c r="A432" s="7">
        <v>2022103100</v>
      </c>
      <c r="B432" s="21" t="s">
        <v>437</v>
      </c>
      <c r="C432" s="34"/>
      <c r="D432" s="44">
        <v>0</v>
      </c>
    </row>
    <row r="433" spans="1:4" x14ac:dyDescent="0.3">
      <c r="A433" s="7">
        <v>2022103200</v>
      </c>
      <c r="B433" s="20" t="s">
        <v>438</v>
      </c>
      <c r="C433" s="34">
        <v>6767</v>
      </c>
      <c r="D433" s="44">
        <v>96784.64937520001</v>
      </c>
    </row>
    <row r="434" spans="1:4" x14ac:dyDescent="0.3">
      <c r="A434" s="7">
        <v>2022103200</v>
      </c>
      <c r="B434" s="20" t="s">
        <v>438</v>
      </c>
      <c r="C434" s="34"/>
      <c r="D434" s="44">
        <v>0</v>
      </c>
    </row>
    <row r="435" spans="1:4" x14ac:dyDescent="0.3">
      <c r="A435" s="7">
        <v>2021149800</v>
      </c>
      <c r="B435" s="20" t="s">
        <v>439</v>
      </c>
      <c r="C435" s="34">
        <v>11205</v>
      </c>
      <c r="D435" s="43">
        <v>97819.182192000007</v>
      </c>
    </row>
    <row r="436" spans="1:4" x14ac:dyDescent="0.3">
      <c r="A436" s="7">
        <v>2027100300</v>
      </c>
      <c r="B436" s="23" t="s">
        <v>440</v>
      </c>
      <c r="C436" s="34">
        <v>5293</v>
      </c>
      <c r="D436" s="44">
        <v>56194.013138000002</v>
      </c>
    </row>
    <row r="437" spans="1:4" x14ac:dyDescent="0.3">
      <c r="A437" s="7">
        <v>2027100600</v>
      </c>
      <c r="B437" s="20" t="s">
        <v>441</v>
      </c>
      <c r="C437" s="34">
        <v>2633</v>
      </c>
      <c r="D437" s="44">
        <v>34764.604859999999</v>
      </c>
    </row>
    <row r="438" spans="1:4" x14ac:dyDescent="0.3">
      <c r="A438" s="7">
        <v>2027100700</v>
      </c>
      <c r="B438" s="21" t="s">
        <v>442</v>
      </c>
      <c r="C438" s="34">
        <v>4247</v>
      </c>
      <c r="D438" s="44">
        <v>44088.088838000003</v>
      </c>
    </row>
    <row r="439" spans="1:4" x14ac:dyDescent="0.3">
      <c r="A439" s="7">
        <v>2027100900</v>
      </c>
      <c r="B439" s="24" t="s">
        <v>443</v>
      </c>
      <c r="C439" s="34">
        <v>2166</v>
      </c>
      <c r="D439" s="44">
        <v>28598.60772</v>
      </c>
    </row>
    <row r="440" spans="1:4" x14ac:dyDescent="0.3">
      <c r="A440" s="7">
        <v>2027101100</v>
      </c>
      <c r="B440" s="21" t="s">
        <v>444</v>
      </c>
      <c r="C440" s="34">
        <v>2782</v>
      </c>
      <c r="D440" s="44">
        <v>36731.91444</v>
      </c>
    </row>
    <row r="441" spans="1:4" x14ac:dyDescent="0.3">
      <c r="A441" s="7">
        <v>2027101500</v>
      </c>
      <c r="B441" s="24" t="s">
        <v>445</v>
      </c>
      <c r="C441" s="34">
        <v>3012</v>
      </c>
      <c r="D441" s="44">
        <v>39768.70104</v>
      </c>
    </row>
    <row r="442" spans="1:4" x14ac:dyDescent="0.3">
      <c r="A442" s="7">
        <v>2027101700</v>
      </c>
      <c r="B442" s="21" t="s">
        <v>446</v>
      </c>
      <c r="C442" s="34">
        <v>6051</v>
      </c>
      <c r="D442" s="44">
        <v>60681.654768000008</v>
      </c>
    </row>
    <row r="443" spans="1:4" x14ac:dyDescent="0.3">
      <c r="A443" s="7">
        <v>2027102100</v>
      </c>
      <c r="B443" s="20" t="s">
        <v>447</v>
      </c>
      <c r="C443" s="34">
        <v>4088</v>
      </c>
      <c r="D443" s="44">
        <v>44979.650800000003</v>
      </c>
    </row>
    <row r="444" spans="1:4" x14ac:dyDescent="0.3">
      <c r="A444" s="7">
        <v>2021149900</v>
      </c>
      <c r="B444" s="21" t="s">
        <v>448</v>
      </c>
      <c r="C444" s="34">
        <v>12860</v>
      </c>
      <c r="D444" s="43">
        <v>112209.4206</v>
      </c>
    </row>
    <row r="445" spans="1:4" x14ac:dyDescent="0.3">
      <c r="A445" s="7">
        <v>2027102800</v>
      </c>
      <c r="B445" s="24" t="s">
        <v>449</v>
      </c>
      <c r="C445" s="34">
        <v>4268</v>
      </c>
      <c r="D445" s="44">
        <v>39150.907999999996</v>
      </c>
    </row>
    <row r="446" spans="1:4" x14ac:dyDescent="0.3">
      <c r="A446" s="7">
        <v>2027102900</v>
      </c>
      <c r="B446" s="21" t="s">
        <v>450</v>
      </c>
      <c r="C446" s="34">
        <v>4416</v>
      </c>
      <c r="D446" s="44">
        <v>58306.307136000003</v>
      </c>
    </row>
    <row r="447" spans="1:4" x14ac:dyDescent="0.3">
      <c r="A447" s="7">
        <v>2027103100</v>
      </c>
      <c r="B447" s="24" t="s">
        <v>451</v>
      </c>
      <c r="C447" s="34">
        <v>3691</v>
      </c>
      <c r="D447" s="44">
        <v>45966.606699999997</v>
      </c>
    </row>
    <row r="448" spans="1:4" x14ac:dyDescent="0.3">
      <c r="A448" s="7">
        <v>2027103000</v>
      </c>
      <c r="B448" s="23" t="s">
        <v>452</v>
      </c>
      <c r="C448" s="34">
        <v>4833</v>
      </c>
      <c r="D448" s="44">
        <v>52783.52611608</v>
      </c>
    </row>
    <row r="449" spans="1:4" x14ac:dyDescent="0.3">
      <c r="A449" s="7">
        <v>2021150100</v>
      </c>
      <c r="B449" s="20" t="s">
        <v>453</v>
      </c>
      <c r="C449" s="34">
        <v>25246</v>
      </c>
      <c r="D449" s="43">
        <v>220056.92494500001</v>
      </c>
    </row>
    <row r="450" spans="1:4" x14ac:dyDescent="0.3">
      <c r="A450" s="7">
        <v>2027104000</v>
      </c>
      <c r="B450" s="21" t="s">
        <v>454</v>
      </c>
      <c r="C450" s="34">
        <v>3412</v>
      </c>
      <c r="D450" s="44">
        <v>34146.784200000002</v>
      </c>
    </row>
    <row r="451" spans="1:4" x14ac:dyDescent="0.3">
      <c r="A451" s="7">
        <v>2027104600</v>
      </c>
      <c r="B451" s="20" t="s">
        <v>455</v>
      </c>
      <c r="C451" s="34">
        <v>4044</v>
      </c>
      <c r="D451" s="44">
        <v>40471.7454</v>
      </c>
    </row>
    <row r="452" spans="1:4" x14ac:dyDescent="0.3">
      <c r="A452" s="7">
        <v>2027104700</v>
      </c>
      <c r="B452" s="23" t="s">
        <v>456</v>
      </c>
      <c r="C452" s="34">
        <v>2860</v>
      </c>
      <c r="D452" s="44">
        <v>28648.905999999999</v>
      </c>
    </row>
    <row r="453" spans="1:4" x14ac:dyDescent="0.3">
      <c r="A453" s="7">
        <v>2027104800</v>
      </c>
      <c r="B453" s="20" t="s">
        <v>457</v>
      </c>
      <c r="C453" s="34">
        <v>4317</v>
      </c>
      <c r="D453" s="44">
        <v>47186.109417</v>
      </c>
    </row>
    <row r="454" spans="1:4" x14ac:dyDescent="0.3">
      <c r="A454" s="7">
        <v>2027104900</v>
      </c>
      <c r="B454" s="21" t="s">
        <v>458</v>
      </c>
      <c r="C454" s="34">
        <v>2990</v>
      </c>
      <c r="D454" s="43">
        <v>29984.820320000003</v>
      </c>
    </row>
    <row r="455" spans="1:4" x14ac:dyDescent="0.3">
      <c r="A455" s="7">
        <v>2027108700</v>
      </c>
      <c r="B455" s="20" t="s">
        <v>459</v>
      </c>
      <c r="C455" s="34">
        <v>2470</v>
      </c>
      <c r="D455" s="44">
        <v>26565.531719999999</v>
      </c>
    </row>
    <row r="456" spans="1:4" x14ac:dyDescent="0.3">
      <c r="A456" s="7">
        <v>2021150200</v>
      </c>
      <c r="B456" s="21" t="s">
        <v>460</v>
      </c>
      <c r="C456" s="34">
        <v>15037</v>
      </c>
      <c r="D456" s="43">
        <v>131671.899825</v>
      </c>
    </row>
    <row r="457" spans="1:4" x14ac:dyDescent="0.3">
      <c r="A457" s="7">
        <v>2027108600</v>
      </c>
      <c r="B457" s="20" t="s">
        <v>461</v>
      </c>
      <c r="C457" s="34">
        <v>3538</v>
      </c>
      <c r="D457" s="44">
        <v>36804.076842000002</v>
      </c>
    </row>
    <row r="458" spans="1:4" x14ac:dyDescent="0.3">
      <c r="A458" s="7">
        <v>2027105100</v>
      </c>
      <c r="B458" s="21" t="s">
        <v>462</v>
      </c>
      <c r="C458" s="34">
        <v>5058</v>
      </c>
      <c r="D458" s="44">
        <v>54982.220183999998</v>
      </c>
    </row>
    <row r="459" spans="1:4" x14ac:dyDescent="0.3">
      <c r="A459" s="7">
        <v>2027105200</v>
      </c>
      <c r="B459" s="20" t="s">
        <v>463</v>
      </c>
      <c r="C459" s="34">
        <v>2464</v>
      </c>
      <c r="D459" s="44">
        <v>31249.408960000001</v>
      </c>
    </row>
    <row r="460" spans="1:4" x14ac:dyDescent="0.3">
      <c r="A460" s="7">
        <v>2027105300</v>
      </c>
      <c r="B460" s="20" t="s">
        <v>464</v>
      </c>
      <c r="C460" s="34">
        <v>2152</v>
      </c>
      <c r="D460" s="44">
        <v>27954.48</v>
      </c>
    </row>
    <row r="461" spans="1:4" x14ac:dyDescent="0.3">
      <c r="A461" s="7">
        <v>2027105400</v>
      </c>
      <c r="B461" s="21" t="s">
        <v>465</v>
      </c>
      <c r="C461" s="34">
        <v>2679</v>
      </c>
      <c r="D461" s="44">
        <v>30085.170000000002</v>
      </c>
    </row>
    <row r="462" spans="1:4" x14ac:dyDescent="0.3">
      <c r="A462" s="7" t="e">
        <v>#N/A</v>
      </c>
      <c r="B462" s="20" t="s">
        <v>466</v>
      </c>
      <c r="C462" s="34"/>
      <c r="D462" s="44">
        <v>0</v>
      </c>
    </row>
    <row r="463" spans="1:4" x14ac:dyDescent="0.3">
      <c r="A463" s="7">
        <v>2027105600</v>
      </c>
      <c r="B463" s="21" t="s">
        <v>467</v>
      </c>
      <c r="C463" s="34"/>
      <c r="D463" s="44">
        <v>0</v>
      </c>
    </row>
    <row r="464" spans="1:4" x14ac:dyDescent="0.3">
      <c r="A464" s="7">
        <v>2027105700</v>
      </c>
      <c r="B464" s="20" t="s">
        <v>468</v>
      </c>
      <c r="C464" s="34"/>
      <c r="D464" s="44">
        <v>0</v>
      </c>
    </row>
    <row r="465" spans="1:4" x14ac:dyDescent="0.3">
      <c r="A465" s="7">
        <v>2027105800</v>
      </c>
      <c r="B465" s="21" t="s">
        <v>469</v>
      </c>
      <c r="C465" s="34"/>
      <c r="D465" s="44">
        <v>0</v>
      </c>
    </row>
    <row r="466" spans="1:4" x14ac:dyDescent="0.3">
      <c r="A466" s="7">
        <v>2027105900</v>
      </c>
      <c r="B466" s="20" t="s">
        <v>470</v>
      </c>
      <c r="C466" s="34"/>
      <c r="D466" s="44">
        <v>0</v>
      </c>
    </row>
    <row r="467" spans="1:4" x14ac:dyDescent="0.3">
      <c r="A467" s="7">
        <v>2027106000</v>
      </c>
      <c r="B467" s="21" t="s">
        <v>471</v>
      </c>
      <c r="C467" s="34"/>
      <c r="D467" s="44">
        <v>0</v>
      </c>
    </row>
    <row r="468" spans="1:4" x14ac:dyDescent="0.3">
      <c r="A468" s="7">
        <v>2027106100</v>
      </c>
      <c r="B468" s="20" t="s">
        <v>472</v>
      </c>
      <c r="C468" s="34"/>
      <c r="D468" s="44">
        <v>0</v>
      </c>
    </row>
    <row r="469" spans="1:4" x14ac:dyDescent="0.3">
      <c r="A469" s="7">
        <v>2027106200</v>
      </c>
      <c r="B469" s="21" t="s">
        <v>473</v>
      </c>
      <c r="C469" s="34"/>
      <c r="D469" s="44">
        <v>0</v>
      </c>
    </row>
    <row r="470" spans="1:4" x14ac:dyDescent="0.3">
      <c r="A470" s="7">
        <v>2027106300</v>
      </c>
      <c r="B470" s="20" t="s">
        <v>474</v>
      </c>
      <c r="C470" s="34"/>
      <c r="D470" s="44">
        <v>0</v>
      </c>
    </row>
    <row r="471" spans="1:4" x14ac:dyDescent="0.3">
      <c r="A471" s="7">
        <v>2027106400</v>
      </c>
      <c r="B471" s="21" t="s">
        <v>475</v>
      </c>
      <c r="C471" s="34"/>
      <c r="D471" s="44">
        <v>0</v>
      </c>
    </row>
    <row r="472" spans="1:4" x14ac:dyDescent="0.3">
      <c r="A472" s="7">
        <v>2027106500</v>
      </c>
      <c r="B472" s="20" t="s">
        <v>476</v>
      </c>
      <c r="C472" s="34"/>
      <c r="D472" s="44">
        <v>0</v>
      </c>
    </row>
    <row r="473" spans="1:4" x14ac:dyDescent="0.3">
      <c r="A473" s="7">
        <v>2027106600</v>
      </c>
      <c r="B473" s="21" t="s">
        <v>477</v>
      </c>
      <c r="C473" s="34"/>
      <c r="D473" s="44">
        <v>0</v>
      </c>
    </row>
    <row r="474" spans="1:4" x14ac:dyDescent="0.3">
      <c r="A474" s="7">
        <v>2027106700</v>
      </c>
      <c r="B474" s="20" t="s">
        <v>478</v>
      </c>
      <c r="C474" s="34"/>
      <c r="D474" s="44">
        <v>0</v>
      </c>
    </row>
    <row r="475" spans="1:4" x14ac:dyDescent="0.3">
      <c r="A475" s="7">
        <v>2027106800</v>
      </c>
      <c r="B475" s="21" t="s">
        <v>479</v>
      </c>
      <c r="C475" s="34"/>
      <c r="D475" s="44">
        <v>0</v>
      </c>
    </row>
    <row r="476" spans="1:4" x14ac:dyDescent="0.3">
      <c r="A476" s="7">
        <v>2027106900</v>
      </c>
      <c r="B476" s="20" t="s">
        <v>480</v>
      </c>
      <c r="C476" s="34"/>
      <c r="D476" s="44">
        <v>0</v>
      </c>
    </row>
    <row r="477" spans="1:4" x14ac:dyDescent="0.3">
      <c r="A477" s="7">
        <v>2027107000</v>
      </c>
      <c r="B477" s="21" t="s">
        <v>481</v>
      </c>
      <c r="C477" s="34"/>
      <c r="D477" s="44">
        <v>0</v>
      </c>
    </row>
    <row r="478" spans="1:4" x14ac:dyDescent="0.3">
      <c r="A478" s="7">
        <v>2027107100</v>
      </c>
      <c r="B478" s="20" t="s">
        <v>482</v>
      </c>
      <c r="C478" s="34"/>
      <c r="D478" s="44">
        <v>0</v>
      </c>
    </row>
    <row r="479" spans="1:4" x14ac:dyDescent="0.3">
      <c r="A479" s="7">
        <v>2027107200</v>
      </c>
      <c r="B479" s="21" t="s">
        <v>483</v>
      </c>
      <c r="C479" s="34"/>
      <c r="D479" s="44">
        <v>0</v>
      </c>
    </row>
    <row r="480" spans="1:4" x14ac:dyDescent="0.3">
      <c r="A480" s="7">
        <v>2027107300</v>
      </c>
      <c r="B480" s="20" t="s">
        <v>484</v>
      </c>
      <c r="C480" s="34"/>
      <c r="D480" s="44">
        <v>0</v>
      </c>
    </row>
    <row r="481" spans="1:4" x14ac:dyDescent="0.3">
      <c r="A481" s="7">
        <v>2027107400</v>
      </c>
      <c r="B481" s="21" t="s">
        <v>485</v>
      </c>
      <c r="C481" s="34"/>
      <c r="D481" s="44">
        <v>0</v>
      </c>
    </row>
    <row r="482" spans="1:4" x14ac:dyDescent="0.3">
      <c r="A482" s="7">
        <v>2027107500</v>
      </c>
      <c r="B482" s="20" t="s">
        <v>486</v>
      </c>
      <c r="C482" s="34"/>
      <c r="D482" s="44">
        <v>0</v>
      </c>
    </row>
    <row r="483" spans="1:4" x14ac:dyDescent="0.3">
      <c r="A483" s="7">
        <v>2027107600</v>
      </c>
      <c r="B483" s="21" t="s">
        <v>487</v>
      </c>
      <c r="C483" s="34"/>
      <c r="D483" s="44">
        <v>0</v>
      </c>
    </row>
    <row r="484" spans="1:4" x14ac:dyDescent="0.3">
      <c r="A484" s="7">
        <v>2027107700</v>
      </c>
      <c r="B484" s="20" t="s">
        <v>488</v>
      </c>
      <c r="C484" s="34"/>
      <c r="D484" s="44">
        <v>0</v>
      </c>
    </row>
    <row r="485" spans="1:4" x14ac:dyDescent="0.3">
      <c r="A485" s="7">
        <v>2027107800</v>
      </c>
      <c r="B485" s="21" t="s">
        <v>489</v>
      </c>
      <c r="C485" s="34"/>
      <c r="D485" s="44">
        <v>0</v>
      </c>
    </row>
    <row r="486" spans="1:4" x14ac:dyDescent="0.3">
      <c r="A486" s="7">
        <v>2027107900</v>
      </c>
      <c r="B486" s="20" t="s">
        <v>490</v>
      </c>
      <c r="C486" s="34"/>
      <c r="D486" s="44">
        <v>0</v>
      </c>
    </row>
    <row r="487" spans="1:4" x14ac:dyDescent="0.3">
      <c r="A487" s="7">
        <v>2027108000</v>
      </c>
      <c r="B487" s="21" t="s">
        <v>491</v>
      </c>
      <c r="C487" s="34"/>
      <c r="D487" s="44">
        <v>0</v>
      </c>
    </row>
    <row r="488" spans="1:4" x14ac:dyDescent="0.3">
      <c r="A488" s="7">
        <v>2027108100</v>
      </c>
      <c r="B488" s="20" t="s">
        <v>492</v>
      </c>
      <c r="C488" s="34"/>
      <c r="D488" s="44">
        <v>0</v>
      </c>
    </row>
    <row r="489" spans="1:4" x14ac:dyDescent="0.3">
      <c r="A489" s="7">
        <v>2027108200</v>
      </c>
      <c r="B489" s="21" t="s">
        <v>493</v>
      </c>
      <c r="C489" s="34"/>
      <c r="D489" s="44">
        <v>0</v>
      </c>
    </row>
    <row r="490" spans="1:4" x14ac:dyDescent="0.3">
      <c r="A490" s="7">
        <v>2027108300</v>
      </c>
      <c r="B490" s="20" t="s">
        <v>494</v>
      </c>
      <c r="C490" s="34"/>
      <c r="D490" s="44">
        <v>0</v>
      </c>
    </row>
    <row r="491" spans="1:4" x14ac:dyDescent="0.3">
      <c r="A491" s="7">
        <v>2027108400</v>
      </c>
      <c r="B491" s="21" t="s">
        <v>495</v>
      </c>
      <c r="C491" s="34"/>
      <c r="D491" s="44">
        <v>0</v>
      </c>
    </row>
    <row r="492" spans="1:4" x14ac:dyDescent="0.3">
      <c r="A492" s="7">
        <v>2027108500</v>
      </c>
      <c r="B492" s="20" t="s">
        <v>496</v>
      </c>
      <c r="C492" s="34"/>
      <c r="D492" s="44">
        <v>0</v>
      </c>
    </row>
    <row r="493" spans="1:4" x14ac:dyDescent="0.3">
      <c r="A493" s="7">
        <v>2027108800</v>
      </c>
      <c r="B493" s="21" t="s">
        <v>497</v>
      </c>
      <c r="C493" s="34"/>
      <c r="D493" s="44">
        <v>0</v>
      </c>
    </row>
    <row r="494" spans="1:4" x14ac:dyDescent="0.3">
      <c r="A494" s="7">
        <v>2027108900</v>
      </c>
      <c r="B494" s="20" t="s">
        <v>498</v>
      </c>
      <c r="C494" s="34"/>
      <c r="D494" s="44">
        <v>0</v>
      </c>
    </row>
    <row r="495" spans="1:4" x14ac:dyDescent="0.3">
      <c r="A495" s="7">
        <v>2027109000</v>
      </c>
      <c r="B495" s="21" t="s">
        <v>499</v>
      </c>
      <c r="C495" s="34"/>
      <c r="D495" s="44">
        <v>0</v>
      </c>
    </row>
    <row r="496" spans="1:4" x14ac:dyDescent="0.3">
      <c r="A496" s="7">
        <v>2027109100</v>
      </c>
      <c r="B496" s="20" t="s">
        <v>500</v>
      </c>
      <c r="C496" s="34"/>
      <c r="D496" s="44">
        <v>0</v>
      </c>
    </row>
    <row r="497" spans="1:4" x14ac:dyDescent="0.3">
      <c r="A497" s="7">
        <v>2027109200</v>
      </c>
      <c r="B497" s="21" t="s">
        <v>501</v>
      </c>
      <c r="C497" s="34"/>
      <c r="D497" s="44">
        <v>0</v>
      </c>
    </row>
    <row r="498" spans="1:4" x14ac:dyDescent="0.3">
      <c r="A498" s="7">
        <v>2027109300</v>
      </c>
      <c r="B498" s="20" t="s">
        <v>502</v>
      </c>
      <c r="C498" s="34"/>
      <c r="D498" s="44">
        <v>0</v>
      </c>
    </row>
    <row r="499" spans="1:4" x14ac:dyDescent="0.3">
      <c r="A499" s="7">
        <v>2027109400</v>
      </c>
      <c r="B499" s="21" t="s">
        <v>503</v>
      </c>
      <c r="C499" s="34"/>
      <c r="D499" s="44">
        <v>0</v>
      </c>
    </row>
    <row r="500" spans="1:4" x14ac:dyDescent="0.3">
      <c r="A500" s="7">
        <v>2027109500</v>
      </c>
      <c r="B500" s="20" t="s">
        <v>504</v>
      </c>
      <c r="C500" s="34"/>
      <c r="D500" s="44">
        <v>0</v>
      </c>
    </row>
    <row r="501" spans="1:4" x14ac:dyDescent="0.3">
      <c r="A501" s="7">
        <v>2027109600</v>
      </c>
      <c r="B501" s="21" t="s">
        <v>505</v>
      </c>
      <c r="C501" s="34"/>
      <c r="D501" s="44">
        <v>0</v>
      </c>
    </row>
    <row r="502" spans="1:4" x14ac:dyDescent="0.3">
      <c r="A502" s="7">
        <v>2027109700</v>
      </c>
      <c r="B502" s="20" t="s">
        <v>506</v>
      </c>
      <c r="C502" s="34"/>
      <c r="D502" s="44">
        <v>0</v>
      </c>
    </row>
    <row r="503" spans="1:4" x14ac:dyDescent="0.3">
      <c r="A503" s="7">
        <v>2027109800</v>
      </c>
      <c r="B503" s="21" t="s">
        <v>507</v>
      </c>
      <c r="C503" s="34"/>
      <c r="D503" s="44">
        <v>0</v>
      </c>
    </row>
    <row r="504" spans="1:4" x14ac:dyDescent="0.3">
      <c r="A504" s="7">
        <v>2027109900</v>
      </c>
      <c r="B504" s="20" t="s">
        <v>508</v>
      </c>
      <c r="C504" s="34"/>
      <c r="D504" s="44">
        <v>0</v>
      </c>
    </row>
    <row r="505" spans="1:4" x14ac:dyDescent="0.3">
      <c r="A505" s="7">
        <v>2027110000</v>
      </c>
      <c r="B505" s="21" t="s">
        <v>509</v>
      </c>
      <c r="C505" s="34"/>
      <c r="D505" s="44">
        <v>0</v>
      </c>
    </row>
    <row r="506" spans="1:4" x14ac:dyDescent="0.3">
      <c r="A506" s="7">
        <v>2027111000</v>
      </c>
      <c r="B506" s="20" t="s">
        <v>510</v>
      </c>
      <c r="C506" s="34"/>
      <c r="D506" s="44">
        <v>0</v>
      </c>
    </row>
    <row r="507" spans="1:4" x14ac:dyDescent="0.3">
      <c r="A507" s="7">
        <v>2027112000</v>
      </c>
      <c r="B507" s="21" t="s">
        <v>511</v>
      </c>
      <c r="C507" s="34"/>
      <c r="D507" s="44">
        <v>0</v>
      </c>
    </row>
    <row r="508" spans="1:4" x14ac:dyDescent="0.3">
      <c r="A508" s="7">
        <v>2027113000</v>
      </c>
      <c r="B508" s="20" t="s">
        <v>512</v>
      </c>
      <c r="C508" s="34"/>
      <c r="D508" s="44">
        <v>0</v>
      </c>
    </row>
    <row r="509" spans="1:4" x14ac:dyDescent="0.3">
      <c r="A509" s="7">
        <v>2027114000</v>
      </c>
      <c r="B509" s="21" t="s">
        <v>513</v>
      </c>
      <c r="C509" s="34"/>
      <c r="D509" s="44">
        <v>0</v>
      </c>
    </row>
    <row r="510" spans="1:4" x14ac:dyDescent="0.3">
      <c r="A510" s="7" t="s">
        <v>4</v>
      </c>
      <c r="B510" s="23" t="s">
        <v>514</v>
      </c>
      <c r="C510" s="34">
        <v>9616.91</v>
      </c>
      <c r="D510" s="44">
        <v>80363.42824102458</v>
      </c>
    </row>
    <row r="511" spans="1:4" x14ac:dyDescent="0.3">
      <c r="A511" s="7">
        <v>2021150300</v>
      </c>
      <c r="B511" s="21" t="s">
        <v>515</v>
      </c>
      <c r="C511" s="34">
        <v>16309</v>
      </c>
      <c r="D511" s="43">
        <v>142774.742268</v>
      </c>
    </row>
    <row r="512" spans="1:4" x14ac:dyDescent="0.3">
      <c r="A512" s="7" t="s">
        <v>5</v>
      </c>
      <c r="B512" s="21" t="s">
        <v>516</v>
      </c>
      <c r="C512" s="34"/>
      <c r="D512" s="44">
        <v>0</v>
      </c>
    </row>
    <row r="513" spans="1:4" x14ac:dyDescent="0.3">
      <c r="A513" s="7">
        <v>2021150400</v>
      </c>
      <c r="B513" s="21" t="s">
        <v>517</v>
      </c>
      <c r="C513" s="34">
        <v>23264</v>
      </c>
      <c r="D513" s="44">
        <v>201575.58080000003</v>
      </c>
    </row>
    <row r="514" spans="1:4" x14ac:dyDescent="0.3">
      <c r="A514" s="15">
        <v>2021150500</v>
      </c>
      <c r="B514" s="21" t="s">
        <v>385</v>
      </c>
      <c r="C514" s="34">
        <v>30308</v>
      </c>
      <c r="D514" s="43">
        <v>308361.05637600005</v>
      </c>
    </row>
    <row r="515" spans="1:4" x14ac:dyDescent="0.3">
      <c r="A515" s="7">
        <v>2021171100</v>
      </c>
      <c r="B515" s="20" t="s">
        <v>518</v>
      </c>
      <c r="C515" s="34"/>
      <c r="D515" s="44">
        <v>0</v>
      </c>
    </row>
    <row r="516" spans="1:4" x14ac:dyDescent="0.3">
      <c r="A516" s="7">
        <v>2021170100</v>
      </c>
      <c r="B516" s="21" t="s">
        <v>519</v>
      </c>
      <c r="C516" s="34">
        <v>3020</v>
      </c>
      <c r="D516" s="44">
        <v>26224.668299999998</v>
      </c>
    </row>
    <row r="517" spans="1:4" x14ac:dyDescent="0.3">
      <c r="A517" s="7" t="s">
        <v>6</v>
      </c>
      <c r="B517" s="20" t="s">
        <v>520</v>
      </c>
      <c r="C517" s="34">
        <v>8502.14</v>
      </c>
      <c r="D517" s="44">
        <v>71915.121533400001</v>
      </c>
    </row>
    <row r="518" spans="1:4" x14ac:dyDescent="0.3">
      <c r="A518" s="7">
        <v>2021170300</v>
      </c>
      <c r="B518" s="21" t="s">
        <v>521</v>
      </c>
      <c r="C518" s="34">
        <v>0</v>
      </c>
      <c r="D518" s="44">
        <v>0</v>
      </c>
    </row>
    <row r="519" spans="1:4" x14ac:dyDescent="0.3">
      <c r="A519" s="7">
        <v>2021170400</v>
      </c>
      <c r="B519" s="21" t="s">
        <v>522</v>
      </c>
      <c r="C519" s="34">
        <v>254</v>
      </c>
      <c r="D519" s="44">
        <v>2200.8337999999999</v>
      </c>
    </row>
    <row r="520" spans="1:4" x14ac:dyDescent="0.3">
      <c r="A520" s="7">
        <v>2021170500</v>
      </c>
      <c r="B520" s="20" t="s">
        <v>523</v>
      </c>
      <c r="C520" s="34">
        <v>690</v>
      </c>
      <c r="D520" s="44">
        <v>5991.7288500000004</v>
      </c>
    </row>
    <row r="521" spans="1:4" x14ac:dyDescent="0.3">
      <c r="A521" s="7">
        <v>2021170900</v>
      </c>
      <c r="B521" s="21" t="s">
        <v>524</v>
      </c>
      <c r="C521" s="35">
        <v>711</v>
      </c>
      <c r="D521" s="44">
        <v>6174.0858150000004</v>
      </c>
    </row>
    <row r="522" spans="1:4" x14ac:dyDescent="0.3">
      <c r="A522" s="7">
        <v>2027100200</v>
      </c>
      <c r="B522" s="20" t="s">
        <v>525</v>
      </c>
      <c r="C522" s="34">
        <v>4532</v>
      </c>
      <c r="D522" s="44">
        <v>39268.420399999995</v>
      </c>
    </row>
    <row r="523" spans="1:4" x14ac:dyDescent="0.3">
      <c r="A523" s="7">
        <v>2021104200</v>
      </c>
      <c r="B523" s="20" t="s">
        <v>526</v>
      </c>
      <c r="C523" s="34">
        <v>967</v>
      </c>
      <c r="D523" s="44">
        <v>9697.4318560000011</v>
      </c>
    </row>
    <row r="524" spans="1:4" x14ac:dyDescent="0.3">
      <c r="A524" s="7">
        <v>2021104200</v>
      </c>
      <c r="B524" s="20" t="s">
        <v>526</v>
      </c>
      <c r="C524" s="34">
        <v>33</v>
      </c>
      <c r="D524" s="44">
        <v>340.99889999999999</v>
      </c>
    </row>
    <row r="525" spans="1:4" x14ac:dyDescent="0.3">
      <c r="A525" s="7">
        <v>2027102300</v>
      </c>
      <c r="B525" s="21" t="s">
        <v>527</v>
      </c>
      <c r="C525" s="34">
        <v>7071</v>
      </c>
      <c r="D525" s="44">
        <v>61268.093700000005</v>
      </c>
    </row>
    <row r="526" spans="1:4" x14ac:dyDescent="0.3">
      <c r="A526" s="7">
        <v>2027103600</v>
      </c>
      <c r="B526" s="20" t="s">
        <v>528</v>
      </c>
      <c r="C526" s="34">
        <v>2868</v>
      </c>
      <c r="D526" s="44">
        <v>24904.751220000002</v>
      </c>
    </row>
    <row r="527" spans="1:4" x14ac:dyDescent="0.3">
      <c r="A527" s="7">
        <v>2027105000</v>
      </c>
      <c r="B527" s="21" t="s">
        <v>529</v>
      </c>
      <c r="C527" s="34">
        <v>3643</v>
      </c>
      <c r="D527" s="44">
        <v>31634.591595000002</v>
      </c>
    </row>
    <row r="528" spans="1:4" x14ac:dyDescent="0.3">
      <c r="A528" s="17">
        <v>2021135900</v>
      </c>
      <c r="B528" s="20" t="s">
        <v>530</v>
      </c>
      <c r="C528" s="35">
        <v>10416</v>
      </c>
      <c r="D528" s="43">
        <v>99597.72408</v>
      </c>
    </row>
    <row r="529" spans="1:4" x14ac:dyDescent="0.3">
      <c r="A529" s="7">
        <v>2021123900</v>
      </c>
      <c r="B529" s="21" t="s">
        <v>531</v>
      </c>
      <c r="C529" s="35">
        <v>5660</v>
      </c>
      <c r="D529" s="43">
        <v>60069.346808000002</v>
      </c>
    </row>
    <row r="530" spans="1:4" x14ac:dyDescent="0.3">
      <c r="A530" s="7" t="s">
        <v>7</v>
      </c>
      <c r="B530" s="20" t="s">
        <v>532</v>
      </c>
      <c r="C530" s="34">
        <v>1432</v>
      </c>
      <c r="D530" s="44">
        <v>12435.008279999998</v>
      </c>
    </row>
    <row r="531" spans="1:4" x14ac:dyDescent="0.3">
      <c r="A531" s="7">
        <v>2021134800</v>
      </c>
      <c r="B531" s="21" t="s">
        <v>533</v>
      </c>
      <c r="C531" s="34"/>
      <c r="D531" s="44">
        <v>0</v>
      </c>
    </row>
    <row r="532" spans="1:4" x14ac:dyDescent="0.3">
      <c r="A532" s="11">
        <v>2021121800</v>
      </c>
      <c r="B532" s="20" t="s">
        <v>534</v>
      </c>
      <c r="C532" s="35">
        <v>4277</v>
      </c>
      <c r="D532" s="43">
        <v>41662.376755999998</v>
      </c>
    </row>
    <row r="533" spans="1:4" x14ac:dyDescent="0.3">
      <c r="A533" s="7" t="s">
        <v>8</v>
      </c>
      <c r="B533" s="20" t="s">
        <v>535</v>
      </c>
      <c r="C533" s="34">
        <v>921</v>
      </c>
      <c r="D533" s="44">
        <v>7997.6554649999998</v>
      </c>
    </row>
    <row r="534" spans="1:4" x14ac:dyDescent="0.3">
      <c r="A534" s="7">
        <v>2025103510</v>
      </c>
      <c r="B534" s="20" t="s">
        <v>536</v>
      </c>
      <c r="C534" s="35">
        <v>2611</v>
      </c>
      <c r="D534" s="44">
        <v>27388.580590000001</v>
      </c>
    </row>
    <row r="535" spans="1:4" x14ac:dyDescent="0.3">
      <c r="A535" s="7">
        <v>2025103910</v>
      </c>
      <c r="B535" s="21" t="s">
        <v>537</v>
      </c>
      <c r="C535" s="35">
        <v>0</v>
      </c>
      <c r="D535" s="44">
        <v>0</v>
      </c>
    </row>
    <row r="536" spans="1:4" x14ac:dyDescent="0.3">
      <c r="A536" s="7">
        <v>2025104010</v>
      </c>
      <c r="B536" s="20" t="s">
        <v>538</v>
      </c>
      <c r="C536" s="35">
        <v>8244</v>
      </c>
      <c r="D536" s="44">
        <v>86477.004359999992</v>
      </c>
    </row>
    <row r="537" spans="1:4" x14ac:dyDescent="0.3">
      <c r="A537" s="7" t="s">
        <v>9</v>
      </c>
      <c r="B537" s="21" t="s">
        <v>539</v>
      </c>
      <c r="C537" s="33"/>
      <c r="D537" s="44">
        <v>0</v>
      </c>
    </row>
    <row r="538" spans="1:4" x14ac:dyDescent="0.3">
      <c r="A538" s="7" t="s">
        <v>10</v>
      </c>
      <c r="B538" s="20" t="s">
        <v>540</v>
      </c>
      <c r="C538" s="39">
        <v>72504.5</v>
      </c>
      <c r="D538" s="44">
        <v>775358.88084999996</v>
      </c>
    </row>
    <row r="539" spans="1:4" ht="20.399999999999999" x14ac:dyDescent="0.3">
      <c r="A539" s="7" t="s">
        <v>1</v>
      </c>
      <c r="B539" s="28" t="s">
        <v>541</v>
      </c>
      <c r="C539" s="34">
        <v>66832.990000000005</v>
      </c>
      <c r="D539" s="44">
        <v>671114.56772200007</v>
      </c>
    </row>
    <row r="540" spans="1:4" ht="20.399999999999999" x14ac:dyDescent="0.3">
      <c r="A540" s="7" t="s">
        <v>1</v>
      </c>
      <c r="B540" s="28" t="s">
        <v>542</v>
      </c>
      <c r="C540" s="34">
        <v>33365.69</v>
      </c>
      <c r="D540" s="44">
        <v>335047.57537826005</v>
      </c>
    </row>
    <row r="541" spans="1:4" ht="20.399999999999999" x14ac:dyDescent="0.3">
      <c r="A541" s="7" t="s">
        <v>2</v>
      </c>
      <c r="B541" s="29" t="s">
        <v>543</v>
      </c>
      <c r="C541" s="34">
        <v>286596.55</v>
      </c>
      <c r="D541" s="44">
        <v>2877911.0384696</v>
      </c>
    </row>
    <row r="542" spans="1:4" x14ac:dyDescent="0.3">
      <c r="A542" s="7" t="s">
        <v>11</v>
      </c>
      <c r="B542" s="21" t="s">
        <v>544</v>
      </c>
      <c r="C542" s="34"/>
      <c r="D542" s="44">
        <v>0</v>
      </c>
    </row>
    <row r="543" spans="1:4" x14ac:dyDescent="0.3">
      <c r="A543" s="7" t="s">
        <v>12</v>
      </c>
      <c r="B543" s="22" t="s">
        <v>545</v>
      </c>
      <c r="C543" s="34"/>
      <c r="D543" s="44">
        <v>0</v>
      </c>
    </row>
    <row r="544" spans="1:4" x14ac:dyDescent="0.3">
      <c r="A544" s="7" t="s">
        <v>13</v>
      </c>
      <c r="B544" s="21" t="s">
        <v>546</v>
      </c>
      <c r="C544" s="34"/>
      <c r="D544" s="44">
        <v>0</v>
      </c>
    </row>
    <row r="545" spans="1:4" ht="20.399999999999999" x14ac:dyDescent="0.3">
      <c r="A545" s="7" t="s">
        <v>3</v>
      </c>
      <c r="B545" s="28" t="s">
        <v>547</v>
      </c>
      <c r="C545" s="34">
        <v>4910.7</v>
      </c>
      <c r="D545" s="44">
        <v>49311.262392280005</v>
      </c>
    </row>
    <row r="546" spans="1:4" x14ac:dyDescent="0.3">
      <c r="A546" s="13" t="s">
        <v>14</v>
      </c>
      <c r="B546" s="21" t="s">
        <v>548</v>
      </c>
      <c r="C546" s="34">
        <v>26528</v>
      </c>
      <c r="D546" s="44">
        <v>218897.38368</v>
      </c>
    </row>
    <row r="547" spans="1:4" x14ac:dyDescent="0.3">
      <c r="A547" s="7" t="s">
        <v>15</v>
      </c>
      <c r="B547" s="21" t="s">
        <v>549</v>
      </c>
      <c r="C547" s="35"/>
      <c r="D547" s="44">
        <v>0</v>
      </c>
    </row>
    <row r="548" spans="1:4" x14ac:dyDescent="0.3">
      <c r="A548" s="9" t="s">
        <v>16</v>
      </c>
      <c r="B548" s="21" t="s">
        <v>550</v>
      </c>
      <c r="C548" s="34">
        <v>6813</v>
      </c>
      <c r="D548" s="43">
        <v>69522.465119999993</v>
      </c>
    </row>
    <row r="549" spans="1:4" x14ac:dyDescent="0.3">
      <c r="A549" s="7">
        <v>2027105500</v>
      </c>
      <c r="B549" s="21" t="s">
        <v>551</v>
      </c>
      <c r="C549" s="34">
        <v>2521</v>
      </c>
      <c r="D549" s="44">
        <v>36145.785395999999</v>
      </c>
    </row>
    <row r="550" spans="1:4" x14ac:dyDescent="0.3">
      <c r="A550" s="7">
        <v>2021401600</v>
      </c>
      <c r="B550" s="21" t="s">
        <v>552</v>
      </c>
      <c r="C550" s="34">
        <v>24840</v>
      </c>
      <c r="D550" s="44">
        <v>348405.15359999996</v>
      </c>
    </row>
    <row r="551" spans="1:4" x14ac:dyDescent="0.3">
      <c r="A551" s="11">
        <v>2021119400</v>
      </c>
      <c r="B551" s="30" t="s">
        <v>553</v>
      </c>
      <c r="C551" s="34">
        <v>14978</v>
      </c>
      <c r="D551" s="44">
        <v>148150.891749</v>
      </c>
    </row>
    <row r="552" spans="1:4" x14ac:dyDescent="0.3">
      <c r="A552" s="11">
        <v>2021121900</v>
      </c>
      <c r="B552" s="31" t="s">
        <v>554</v>
      </c>
      <c r="C552" s="34">
        <v>9328</v>
      </c>
      <c r="D552" s="44">
        <v>84583.916031999994</v>
      </c>
    </row>
    <row r="553" spans="1:4" x14ac:dyDescent="0.3">
      <c r="A553" s="6">
        <v>2021128100</v>
      </c>
      <c r="B553" s="31" t="s">
        <v>555</v>
      </c>
      <c r="C553" s="34">
        <v>4470</v>
      </c>
      <c r="D553" s="43">
        <v>50103.917099999991</v>
      </c>
    </row>
    <row r="554" spans="1:4" x14ac:dyDescent="0.3">
      <c r="A554" s="7" t="s">
        <v>17</v>
      </c>
      <c r="B554" s="21"/>
      <c r="C554" s="34"/>
      <c r="D554" s="44">
        <v>0</v>
      </c>
    </row>
    <row r="555" spans="1:4" x14ac:dyDescent="0.3">
      <c r="A555" s="7" t="s">
        <v>17</v>
      </c>
      <c r="B555" s="20"/>
      <c r="C555" s="34"/>
      <c r="D555" s="44">
        <v>0</v>
      </c>
    </row>
    <row r="556" spans="1:4" x14ac:dyDescent="0.3">
      <c r="A556" s="7" t="s">
        <v>17</v>
      </c>
      <c r="B556" s="21"/>
      <c r="C556" s="34"/>
      <c r="D556" s="44">
        <v>0</v>
      </c>
    </row>
    <row r="557" spans="1:4" x14ac:dyDescent="0.3">
      <c r="A557" s="7" t="s">
        <v>17</v>
      </c>
      <c r="B557" s="20"/>
      <c r="C557" s="34"/>
      <c r="D557" s="44">
        <v>0</v>
      </c>
    </row>
    <row r="558" spans="1:4" x14ac:dyDescent="0.3">
      <c r="A558" s="7" t="s">
        <v>17</v>
      </c>
      <c r="B558" s="21"/>
      <c r="C558" s="34"/>
      <c r="D558" s="44">
        <v>0</v>
      </c>
    </row>
    <row r="559" spans="1:4" x14ac:dyDescent="0.3">
      <c r="A559" s="7" t="s">
        <v>17</v>
      </c>
      <c r="B559" s="20"/>
      <c r="C559" s="34"/>
      <c r="D559" s="44">
        <v>0</v>
      </c>
    </row>
    <row r="560" spans="1:4" x14ac:dyDescent="0.3">
      <c r="A560" s="7" t="s">
        <v>17</v>
      </c>
      <c r="B560" s="21"/>
      <c r="C560" s="34"/>
      <c r="D560" s="44">
        <v>0</v>
      </c>
    </row>
    <row r="561" spans="1:4" x14ac:dyDescent="0.3">
      <c r="A561" s="7" t="s">
        <v>17</v>
      </c>
      <c r="B561" s="20"/>
      <c r="C561" s="34"/>
      <c r="D561" s="44">
        <v>0</v>
      </c>
    </row>
    <row r="562" spans="1:4" x14ac:dyDescent="0.3">
      <c r="A562" s="7" t="s">
        <v>17</v>
      </c>
      <c r="B562" s="21"/>
      <c r="C562" s="34"/>
      <c r="D562" s="44">
        <v>0</v>
      </c>
    </row>
    <row r="563" spans="1:4" x14ac:dyDescent="0.3">
      <c r="A563" s="7">
        <v>2021203000</v>
      </c>
      <c r="B563" s="21" t="s">
        <v>556</v>
      </c>
      <c r="C563" s="40">
        <v>755</v>
      </c>
      <c r="D563" s="44">
        <v>8151.9081319999996</v>
      </c>
    </row>
    <row r="565" spans="1:4" x14ac:dyDescent="0.3">
      <c r="C565" s="41"/>
    </row>
    <row r="566" spans="1:4" x14ac:dyDescent="0.3">
      <c r="C566" s="41"/>
    </row>
    <row r="568" spans="1:4" x14ac:dyDescent="0.3">
      <c r="B568" s="32"/>
    </row>
  </sheetData>
  <protectedRanges>
    <protectedRange algorithmName="SHA-512" hashValue="tj9qYipmjyQaOS+Sglg4rddNuu5zaGp55IJvkn5IgSApS4jHoBvV/Xl+KnFAvaGgmJrAeVNUr3+TMco1jIjujw==" saltValue="LducduxevpklSsj4s3wJgQ==" spinCount="100000" sqref="C546 C537" name="Диапазон1_2_1_11"/>
    <protectedRange algorithmName="SHA-512" hashValue="tj9qYipmjyQaOS+Sglg4rddNuu5zaGp55IJvkn5IgSApS4jHoBvV/Xl+KnFAvaGgmJrAeVNUr3+TMco1jIjujw==" saltValue="LducduxevpklSsj4s3wJgQ==" spinCount="100000" sqref="C538" name="Диапазон1_2_1_13"/>
  </protectedRange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Суховій Ігор Юрійович</dc:creator>
  <cp:lastModifiedBy>Суховій Ігор Юрійович</cp:lastModifiedBy>
  <dcterms:created xsi:type="dcterms:W3CDTF">2015-06-05T18:19:34Z</dcterms:created>
  <dcterms:modified xsi:type="dcterms:W3CDTF">2026-06-16T09:00:04Z</dcterms:modified>
</cp:coreProperties>
</file>